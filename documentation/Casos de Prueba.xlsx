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215"/>
  <workbookPr defaultThemeVersion="166925"/>
  <xr:revisionPtr revIDLastSave="1645" documentId="11_5A4B2593B5D2FCE81CF82D76063CFA6EC207AB1F" xr6:coauthVersionLast="47" xr6:coauthVersionMax="47" xr10:uidLastSave="{39D077DD-5E92-4E20-B126-E7CB28A83CBD}"/>
  <bookViews>
    <workbookView xWindow="240" yWindow="105" windowWidth="14805" windowHeight="8010" firstSheet="3" activeTab="3" xr2:uid="{00000000-000D-0000-FFFF-FFFF00000000}"/>
  </bookViews>
  <sheets>
    <sheet name="Metricas de Casos de Prueba" sheetId="6" r:id="rId1"/>
    <sheet name="Registración y Adquisición" sheetId="1" r:id="rId2"/>
    <sheet name="Perfil" sheetId="3" r:id="rId3"/>
    <sheet name="Credenciales" sheetId="7" r:id="rId4"/>
    <sheet name="Videollamadas" sheetId="2" r:id="rId5"/>
    <sheet name="Reintegros" sheetId="4" r:id="rId6"/>
    <sheet name="Misceláneas" sheetId="5" r:id="rId7"/>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5" i="6" l="1"/>
  <c r="K25" i="6"/>
  <c r="S25" i="6" s="1"/>
  <c r="K5" i="6"/>
  <c r="C5" i="6"/>
  <c r="S5" i="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tc={3BD9547E-8410-4428-AF94-4B104BE5B4AE}</author>
    <author>tc={0DEA1256-7C74-496E-B5E9-8D0D350BF265}</author>
  </authors>
  <commentList>
    <comment ref="G11" authorId="0" shapeId="0" xr:uid="{3BD9547E-8410-4428-AF94-4B104BE5B4AE}">
      <text>
        <t>[Threaded comment]
Your version of Excel allows you to read this threaded comment; however, any edits to it will get removed if the file is opened in a newer version of Excel. Learn more: https://go.microsoft.com/fwlink/?linkid=870924
Comment:
    Las nuevas contrataciones demora demasiado tiempo en estar activas lo que imposibilita la implementación completa de este flujo</t>
      </text>
    </comment>
    <comment ref="H11" authorId="1" shapeId="0" xr:uid="{0DEA1256-7C74-496E-B5E9-8D0D350BF265}">
      <text>
        <t>[Threaded comment]
Your version of Excel allows you to read this threaded comment; however, any edits to it will get removed if the file is opened in a newer version of Excel. Learn more: https://go.microsoft.com/fwlink/?linkid=870924
Comment:
    Las nuevas contrataciones demora demasiado tiempo en estar activas lo que imposibilita la implementación completa de este flujo</t>
      </text>
    </comment>
  </commentList>
</comments>
</file>

<file path=xl/sharedStrings.xml><?xml version="1.0" encoding="utf-8"?>
<sst xmlns="http://schemas.openxmlformats.org/spreadsheetml/2006/main" count="645" uniqueCount="364">
  <si>
    <t>Total de Casos de Prueba</t>
  </si>
  <si>
    <t>Total Casos Automatizados</t>
  </si>
  <si>
    <t>Porcentaje Automatizado</t>
  </si>
  <si>
    <t>Casos de Prueba Críticos</t>
  </si>
  <si>
    <t>Test Críticos Automatizados</t>
  </si>
  <si>
    <t>Indice de Colores en Tabs</t>
  </si>
  <si>
    <t>Revisar / Actualizar</t>
  </si>
  <si>
    <t>Trabajo en progreso</t>
  </si>
  <si>
    <t>Listo para automatizar</t>
  </si>
  <si>
    <t>Solo casos críticos automatizados</t>
  </si>
  <si>
    <t>100% Automatizado</t>
  </si>
  <si>
    <t>ID</t>
  </si>
  <si>
    <t>Categoria</t>
  </si>
  <si>
    <t>Título</t>
  </si>
  <si>
    <t>Precondiciones</t>
  </si>
  <si>
    <t>Pasos</t>
  </si>
  <si>
    <t>Resultado Esperado</t>
  </si>
  <si>
    <t>Crítico?</t>
  </si>
  <si>
    <t>Automatizado?</t>
  </si>
  <si>
    <t>Adquirientes</t>
  </si>
  <si>
    <t>CP-01.01</t>
  </si>
  <si>
    <t>01 - Flujo de Compra</t>
  </si>
  <si>
    <t>Vetify - Flujo de compra - Nuevo usuario adquiriente - Compra existosa - Plan individual</t>
  </si>
  <si>
    <t>1. Cargar la webinsitucional
2. Seleccionar un plan
3. Completar los datos solicitados
4. Presionar el botón "Continuar"
5. Completar la dirección de facturación
6. Presionar el botón "Continuar"
7. Ingresar los datos de la tarjeta de débito/crédito
8. Presionar el botón "Finalizar"</t>
  </si>
  <si>
    <t>1. El pago es procesado correctamente 
2. El sistema redirecciona hacia la página de checkout exitoso mostrando confirmación de la compra mostrando los datos ingresados y el plan seleccionado
3. En Salesforce se registra un lead asociado como "Close Won"
4. En el sistema se registra una activación de una poliza para el DNI ingresado</t>
  </si>
  <si>
    <t>Si</t>
  </si>
  <si>
    <t>CP-01.02</t>
  </si>
  <si>
    <t>Vetify - Flujo de compra - Nuevo usuario adquiriente - Compra existosa - Plan familiar</t>
  </si>
  <si>
    <t>1. Cargar la webinsitucional
2. Seleccionar un plan
3. Completar los datos solicitados
4. Seleccionar más de 1 plan para el plan a comprar
5. Presionar el botón "Continuar"
6. Completar la dirección de facturación
7. Presionar el botón "Continuar"
8. Ingresar los datos de la tarjeta de débito/crédito
9. Presionar el botón "Finalizar"</t>
  </si>
  <si>
    <t>1. El pago es procesado correctamente 
2. El sistema redirecciona hacia la página de checkout exitoso mostrando confirmación de la compra mostrando los datos ingresados y el plan seleccionado
3. En Salesforce se registra un lead asociado como "Close Won"
4. En el sistema se registra una activación de tantas polizas según las seleccionadas en el paso 4</t>
  </si>
  <si>
    <t>No</t>
  </si>
  <si>
    <t>CP-01.03</t>
  </si>
  <si>
    <t>Vetify - Flujo de compra - Nuevo usuario adquiriente - Compra fallida</t>
  </si>
  <si>
    <t>1. Cargar la webinsitucional
2. Seleccionar un plan
3. Completar los datos solicitados
4. Presionar el botón "Continuar"
5. Completar la dirección de facturación
6. Presionar el botón "Continuar"
7. Ingresar los datos de la tarjeta de débito/crédito que no permita la compra (saldo insuficiente, datos incorrectos, etc)
8. Presionar el botón "Finalizar"</t>
  </si>
  <si>
    <t>1. El sistema redirecciona a una página de checkout fallido indicando que no ha sido posible realizar la compra. 
2. El usuario puede presionar el botón "Reintentar Pago" que redirecciona al paso 3 del flujo de adquisición</t>
  </si>
  <si>
    <t>CP-01.04</t>
  </si>
  <si>
    <t xml:space="preserve">Vetify - Flujo de compra - DNI ya esta registrado - Email no registrado - Pago existoso </t>
  </si>
  <si>
    <t xml:space="preserve"> - En el sistema existe al menos un usuario registrado</t>
  </si>
  <si>
    <t>1. Cargar la webinsitucional
2. Seleccionar un plan
3. Ingresar el DNI de un usuario ya registrado
4. Ingresar el email que no corresponda a ningún usuario
5. Completar el resto de los datos
6. Presionar el botón "Continuar"
7. Completar la dirección de facturación
8. Presionar el botón "Continuar"
9. Ingresar los datos de la tarjeta de débito/crédito
10. Presionar el botón "Finalizar"</t>
  </si>
  <si>
    <t>1. El sistema procesa la compra exitosamente
2. El nuevo plan es adjuntado al usuario asociado al mismo DNI</t>
  </si>
  <si>
    <t>CP-01.05</t>
  </si>
  <si>
    <t xml:space="preserve">Vetify - Flujo de compra - DNI no registrado - Email registrado - Pago existoso </t>
  </si>
  <si>
    <t>1. Cargar la webinsitucional
2. Seleccionar un plan
3. Ingresar el DNI que no corresponda a ningún usuario
4. Ingresar el email de un usuario ya registrado
5. Completar el resto de los datos
6. Presionar el botón "Continuar"
7. Completar la dirección de facturación
8. Presionar el botón "Continuar"
9. Ingresar los datos de la tarjeta de débito/crédito
10. Presionar el botón "Finalizar"</t>
  </si>
  <si>
    <t>1. El sistema procesa la compra exitosamente
2. El sistema realiza la alta para un nuevo usuario (en espera de registración) con el plan asociado al DNI y no al email
3. El usuario asociado al email ingresado no visualiza ningún nuevo plan</t>
  </si>
  <si>
    <t>CP-01.06</t>
  </si>
  <si>
    <t xml:space="preserve">Vetify - Flujo de compra - DNI y Emails estan relaciondos a usuarios distintos - Pago existoso </t>
  </si>
  <si>
    <t xml:space="preserve"> - En el sistema existe al menos dos usuarios registrados</t>
  </si>
  <si>
    <t>1. Cargar la webinsitucional
2. Seleccionar un plan
3. Ingresar el DNI de un usuario ya registrado
4. Ingresar el email asociado a otro usuario diferente al DNI
5. Completar el resto de los datos
6. Presionar el botón "Continuar"
7. Completar la dirección de facturación
8. Presionar el botón "Continuar"
9. Ingresar los datos de la tarjeta de débito/crédito
10. Presionar el botón "Finalizar"</t>
  </si>
  <si>
    <t>1. El sistema procesa la compra exitosamente
2. El nuevo plan es adjuntado al usuario asociado al mismo DNI
3. El usuario asociado al email ingresado no visualiza ningún nuevo plan</t>
  </si>
  <si>
    <t>CP-02.01</t>
  </si>
  <si>
    <t>TS02: Vetify - Registración</t>
  </si>
  <si>
    <t>Vetify - Registración - DNI sin plan</t>
  </si>
  <si>
    <t>1. Acceder a la webapp de Vetify
2. Presionar el botón "Crear cuenta"
3. Ingresar un email (que no esté asociado a ningún usuario registrado)
4. Ingresar una contraseña
5. Presionar el botón "Crear cuenta" nuevamente
6. Ingresar un nombre y apellido
7. Ingresar un DNI que no esté asociado a ninguna poliza
8. Presionar el botón de "Verificar covertura"</t>
  </si>
  <si>
    <t>El sistema muestra un mensaje de error indicando que no existe poliza asociado a ese DNI</t>
  </si>
  <si>
    <t>CP-02.02</t>
  </si>
  <si>
    <t>Vetify - Registración - DNI con plan - Sin usuario</t>
  </si>
  <si>
    <t>1. Realizar el flujo de compra con un DNI sin registrar</t>
  </si>
  <si>
    <t>1. Acceder a la webapp de Vetify
2. Presionar el botón "Crear cuenta"
3. Ingresar un email (que no esté asociado a ningún usuario registrado)
4. Ingresar una contraseña
5. Presionar el botón "Crear cuenta" nuevamente
6. Ingresar un nombre y apellido
7. Ingresar un DNI de una poliza con plan activo pero sin asociar a ningún usuario
8. Presionar el botón de "Verificar covertura"</t>
  </si>
  <si>
    <t>1. El sistema asocia correctamente la poliza al usuario creado
2. El sistema redirecciona a la home de Vetify</t>
  </si>
  <si>
    <t>CP-02.03</t>
  </si>
  <si>
    <t>Vetify - Registración - DNI con plan - Con usuario</t>
  </si>
  <si>
    <t>1. Buscar un DNI que ya tenga usuario registrado</t>
  </si>
  <si>
    <t>1. Acceder a la webapp de Vetify
2. Presionar el botón "Crear cuenta"
3. Ingresar un email (que no esté asociado a ningún usuario registrado)
4. Ingresar una contraseña
5. Presionar el botón "Crear cuenta" nuevamente
6. Ingresar un nombre y apellido
7. Ingresar un DNI asociado a un usuario ya registrado y con plan activo
8. Presionar el botón de "Verificar covertura"</t>
  </si>
  <si>
    <t>El sistema muestra un mensaje de error indicando que el usuario ya se encuentra registrado</t>
  </si>
  <si>
    <t>CP-02.04</t>
  </si>
  <si>
    <t>Vetify - Registración - Email ya registrado</t>
  </si>
  <si>
    <t xml:space="preserve"> - En el sistema ya existe un usuario registrado (con/sin poliza asociada)</t>
  </si>
  <si>
    <t>1. Acceder a la webapp de Vetify
2. Presionar el botón "Crear cuenta"
3. Ingresar un email de un usuario ya registrado
4. Ingresar una contraseña
5. Presionar el botón "Crear Cuenta" nuevamente</t>
  </si>
  <si>
    <t xml:space="preserve"> - El sistema no procesa la creación de la cuenta
 - El sistema muestra un mensaje de error indicando que el mail ya se encuentra registrado en el sistema</t>
  </si>
  <si>
    <t>CP-03.01</t>
  </si>
  <si>
    <t>03 IKE - Registración</t>
  </si>
  <si>
    <t>IKE - Registración - DNI sin plan</t>
  </si>
  <si>
    <t>CP-03.02</t>
  </si>
  <si>
    <t>IKE - Registración - DNI con plan - Sin usuario</t>
  </si>
  <si>
    <t>CP-03.03</t>
  </si>
  <si>
    <t>IKE - Registración - DNI con plan - Con usuario</t>
  </si>
  <si>
    <t>CP-03.04</t>
  </si>
  <si>
    <t>IKE - Registración - Email ya registrado en IKE</t>
  </si>
  <si>
    <t>CP-03.05</t>
  </si>
  <si>
    <t>IKE - Registración - Email ya registrado en Vetify</t>
  </si>
  <si>
    <t>CP-04.01</t>
  </si>
  <si>
    <t>04 Iniciar sesión</t>
  </si>
  <si>
    <t>Usuario de Vetify - Inicio de sesión en Vetify</t>
  </si>
  <si>
    <t>CP-04.02</t>
  </si>
  <si>
    <t>Usuario de Vetify - Inicio de sesión en IKE</t>
  </si>
  <si>
    <t>CP-04.03</t>
  </si>
  <si>
    <t>Usuario de IKE - Inicio de sesión en IKE</t>
  </si>
  <si>
    <t>CP-04.04</t>
  </si>
  <si>
    <t>Usuario de IKE - Inicio de sesión en Vetify</t>
  </si>
  <si>
    <t>CP-05.01</t>
  </si>
  <si>
    <t>05 Cupones</t>
  </si>
  <si>
    <t>Agregar cupon - Cupon existente - Compra individual - Paso 1</t>
  </si>
  <si>
    <t>CP-05.02</t>
  </si>
  <si>
    <t>Agregar cupon - Cupon existente - Compra individual - Paso 2</t>
  </si>
  <si>
    <t>CP-05.03</t>
  </si>
  <si>
    <t>Agregar cupon - Cupon existente - Compra individual - Paso 3</t>
  </si>
  <si>
    <t>CP-05.04</t>
  </si>
  <si>
    <t>Agregar cupon - Cupon existente - Compra familiar - Paso 1</t>
  </si>
  <si>
    <t>CP-05.05</t>
  </si>
  <si>
    <t>Agregar cupon - Cupon existente - Compra familiar - Paso 2</t>
  </si>
  <si>
    <t>CP-05.06</t>
  </si>
  <si>
    <t>Agregar cupon - Cupon existente - Compra familiar - Paso 3</t>
  </si>
  <si>
    <t>CP-05.07</t>
  </si>
  <si>
    <t>Agregar cupon - Cupon no existente</t>
  </si>
  <si>
    <t>CP-05.08</t>
  </si>
  <si>
    <t>Agregar cupon - Cupon existente - Eliminar un cupon agregado</t>
  </si>
  <si>
    <t>CP-05.09</t>
  </si>
  <si>
    <t>Agregar cupon - Cupon existente - Cambiar el cupon seleccionado</t>
  </si>
  <si>
    <t>CP-05.10</t>
  </si>
  <si>
    <t>Cupone - Cupon en la URL</t>
  </si>
  <si>
    <t>Flujos Alternativos</t>
  </si>
  <si>
    <t>Generar un carrito abandonado</t>
  </si>
  <si>
    <t>Recuperar una compra desde el mail de carrito abandonado</t>
  </si>
  <si>
    <t>Capitados</t>
  </si>
  <si>
    <t>BUSCAR CASSOS EN 2351</t>
  </si>
  <si>
    <t>Critico?</t>
  </si>
  <si>
    <t>Perfil</t>
  </si>
  <si>
    <t>Credencial - Vetify - Visualización del perfil</t>
  </si>
  <si>
    <t xml:space="preserve"> - Usuario registrado con un plan vigente</t>
  </si>
  <si>
    <t>1. Iniciar sesión con un usuario con un plan vigente
2. Navegar al perfil del usuario</t>
  </si>
  <si>
    <t>El perfil del usuario se carga correctamente mostrando los siguientes datos:
 - Foto
 - Nombre completo
 - Número de identificación
 - Nombre 
 - Apellido
 - Tipo/Numero de identificación
 - Número de teléfono</t>
  </si>
  <si>
    <t>Credencial - Vetify - Cambiar imagen de perfil</t>
  </si>
  <si>
    <t>1. Iniciar sesión con un usuario con un plan vigente
2. Navegar al perfil del usuario
3. Presionar la imágen de avatar del usuario</t>
  </si>
  <si>
    <t>El sistema solo permite la selección de imágenes (png, jpg, jpeg, webp)</t>
  </si>
  <si>
    <t>1. Seleccionar una foto</t>
  </si>
  <si>
    <t xml:space="preserve"> - El sistema actualiza correctamente la foto de perfil del usuario</t>
  </si>
  <si>
    <t>Credencial - Vetify - Actualizar datos personales</t>
  </si>
  <si>
    <t>El sistema permite cambiar los siguiente datos del perfil:
 - Nombre
 - Apellido
 - Número de Identificación
 - Número de teléfono</t>
  </si>
  <si>
    <t>1. Cambiar los datos del perfil del usuario</t>
  </si>
  <si>
    <t>El sistema actualiza correctamente los datos del perfil del usuario</t>
  </si>
  <si>
    <t>Credencial - Vetify - Cambiar DNI - Nuevo DNI ya registrado con otro usuario</t>
  </si>
  <si>
    <t>DBD</t>
  </si>
  <si>
    <t>Credencial - Vetify - Cambiar DNI - Nuevo DNI sin utilizar en el sistema</t>
  </si>
  <si>
    <t>Credencial - Vetify - Cambiar DNI - Nueva compra con el DNI viejo</t>
  </si>
  <si>
    <t>1. Iniciar sesión con un usuario con un plan vigente
2. Navegar al perfil del usuario
3. Cambiar el número de DNI
4. Presionar el botón "Guardar cambios"
5. Ingresar a la web institucional
6. Realizar un flujo de compra con el DNI anterior</t>
  </si>
  <si>
    <t xml:space="preserve"> - La compra es realizada exitosamente
 - El nuevo plan no es asociado al usuario porque el DNI ya no es el mismo</t>
  </si>
  <si>
    <t>Credencial - Vetify - Cambiar DNI - Nueva compra con el DNI nuevo</t>
  </si>
  <si>
    <t>1. Iniciar sesión con un usuario con un plan vigente
2. Navegar al perfil del usuario
3. Cambiar el número de DNI
4. Presionar el botón "Guardar cambios"
5. Ingresar a la web institucional
6. Realizar un flujo de compra con el DNI actual</t>
  </si>
  <si>
    <t xml:space="preserve"> - La compra es realizada exitosamente
 - El nuevo es asociado correctamente al usuario</t>
  </si>
  <si>
    <t>CP-01</t>
  </si>
  <si>
    <t>TS-01 Visualización de Planes</t>
  </si>
  <si>
    <t>Credencial - Vetify - Usuario con plan - Plan sin mascota asociada</t>
  </si>
  <si>
    <t xml:space="preserve"> - Usuario registrado con un plan vigente
 - Plan vigente sin mascota asociada</t>
  </si>
  <si>
    <t>1. Iniciar sesión con un usuario con un plan vigente que no tenga mascota asociada a al menos un plan
2. Navegar a la pantalla de mascotas
3. Visualizar un plan sin mascota asignada</t>
  </si>
  <si>
    <t xml:space="preserve"> - Hay un mensaje indicando que el plan no tiene una mascota asignada
 - El plan presenta un botón para cargar los datos</t>
  </si>
  <si>
    <t>CP-02</t>
  </si>
  <si>
    <t>Credencial - Vetify - Usuario con plan - Plan con mascota asociada</t>
  </si>
  <si>
    <t>1. Iniciar sesión con un usuario con un plan vigente que tenga mascota asociada a al menos un plan
2. Navegar a la pantalla de mascotas
3. Visualizar un plan con mascota asignada</t>
  </si>
  <si>
    <t xml:space="preserve"> - El plan muestra los datos de la mascota asociada al plan (foto, nombre) además de un botón/acción para ver/descargar la credencial</t>
  </si>
  <si>
    <t>CP-03</t>
  </si>
  <si>
    <t>Credencial - Vetify - Subscribir nueva mascota - Sin planes libres</t>
  </si>
  <si>
    <t xml:space="preserve"> - Usuario registrado con un plan vigente
 - El usuario ha registrado una mascota en cada uno de los planes contratados</t>
  </si>
  <si>
    <t>1. Iniciar sesión con un usuario con un plan vigente
2. Navegar a la pantalla de mascotas
3. Presionar el botón "Agregar mascota"</t>
  </si>
  <si>
    <t xml:space="preserve"> - El sistema redirecciona a la web institucional de vetify (permitiendo al usuario adquirir un otro plan)</t>
  </si>
  <si>
    <t>CP-04</t>
  </si>
  <si>
    <t>Credencial - Vetify - Subscribir nueva mascota - Con planes libres</t>
  </si>
  <si>
    <t xml:space="preserve"> - Usuario registrado con un plan vigente
 - El usuario cuenta con planes sin mascota asignadas</t>
  </si>
  <si>
    <t xml:space="preserve"> - El sistema abre el modal para cargar la mascota del uno de los planes sin mascotas</t>
  </si>
  <si>
    <t>TS-02 Cargar credencial - Validación de Pasos</t>
  </si>
  <si>
    <t>Cargar Credencial - Vetify - Inicio - Comenzar carga</t>
  </si>
  <si>
    <t xml:space="preserve"> - Usuario autenticado
 - Usuario con al menos un plan sin mascota
 - El usuario se encuenta en la pantalla de comienzo de carga de credencial</t>
  </si>
  <si>
    <t>1. Presionar el botón "Continuar"</t>
  </si>
  <si>
    <t>El usuario es redireccionado correctamente al paso 1</t>
  </si>
  <si>
    <t>Cargar Credencial - Vetify - Inicio - Volver al Home</t>
  </si>
  <si>
    <t>1. Presionar el botón atrás</t>
  </si>
  <si>
    <t>El sistema redirecciona correctamente a la pantalla de home</t>
  </si>
  <si>
    <t>Paso 1 - Nombre - Limite de caracteres</t>
  </si>
  <si>
    <t xml:space="preserve"> - Usuario autenticado
 - Usuario con al menos un plan sin mascota
 - El usuario se encuenta en el paso 1 del proceso de carga de credencial</t>
  </si>
  <si>
    <t>1. Ingresar un sólo caracter en el campo nombre</t>
  </si>
  <si>
    <t xml:space="preserve"> - El sistema muestra un mensaje de error indicando que la cantidad de caracteres para el campo nombre debe ser de entre 2 a 100 (extremos incluídos)
 - El botón "Continuar" permanece deshabilitado</t>
  </si>
  <si>
    <t>1. Ingresar más de 100 caracteres en el campo nombre</t>
  </si>
  <si>
    <t>CP-05</t>
  </si>
  <si>
    <t>Paso 1 - Navegar al paso 2</t>
  </si>
  <si>
    <t>1. Ingresar un nombre de mascota (entre 2 a 100 caracteres)
2. Presionar el botón "Continuar"</t>
  </si>
  <si>
    <t xml:space="preserve"> - El sistema redirecciona al usuario al paso 2 del proceso de carga de credencial</t>
  </si>
  <si>
    <t>CP-06</t>
  </si>
  <si>
    <t>Paso 1 - Volver a la pantalla de comienzo</t>
  </si>
  <si>
    <t xml:space="preserve"> - El sistema redirecciona al usuario a la pantalla de home. 
 - Todos los datos ingresados son descartados</t>
  </si>
  <si>
    <t>CP-07</t>
  </si>
  <si>
    <t>Paso 2 - Seleccionar sólo tipo de mascota</t>
  </si>
  <si>
    <t xml:space="preserve"> - Usuario autenticado
 - Usuario con al menos un plan sin mascota
 - El usuario se encuenta en el paso 2 del proceso de carga de credencial</t>
  </si>
  <si>
    <t>1. Seleccionar el tipo de mascota</t>
  </si>
  <si>
    <t xml:space="preserve"> - El botón "Continuar" permanece deshabilitado</t>
  </si>
  <si>
    <t>CP-08</t>
  </si>
  <si>
    <t>Paso 2 - Seleccionar sólo género</t>
  </si>
  <si>
    <t>1. Seleccionar el género</t>
  </si>
  <si>
    <t>CP-09</t>
  </si>
  <si>
    <t>Paso 2 - Navegar al paso 3</t>
  </si>
  <si>
    <t>1. Seleccionar el género
2. Seleccionar el tipo de mascota
3. Presionar el botón "Continuar"</t>
  </si>
  <si>
    <t xml:space="preserve"> - El sistema redirecciona al usuario al paso 3 del proceso de carga de credencial</t>
  </si>
  <si>
    <t>CP-10</t>
  </si>
  <si>
    <t>Paso 2 - Volver al paso 1</t>
  </si>
  <si>
    <t xml:space="preserve"> - El sistema redirecciona al usuario al paso 1 del proceso de carga de credencial</t>
  </si>
  <si>
    <t>CP-11</t>
  </si>
  <si>
    <t>Paso 3 - Validar listado de raza - Tipo perro</t>
  </si>
  <si>
    <t xml:space="preserve"> - Usuario autenticado
 - Usuario con al menos un plan sin mascota
 - El usuario se encuenta en el paso 3 del proceso de carga de credencial
 - El usuario seleccionó tipo de mascota "Perro" en el paso 3 del proceso de carga de credencial</t>
  </si>
  <si>
    <t>1. Deplegar el selector de la raza de mascota</t>
  </si>
  <si>
    <t xml:space="preserve"> - El sistema lista correctamente todas las razas de perro</t>
  </si>
  <si>
    <t>CP-12</t>
  </si>
  <si>
    <t>Paso 3 - Validar listado de raza - Tipo gato</t>
  </si>
  <si>
    <t xml:space="preserve"> - Usuario autenticado
 - Usuario con al menos un plan sin mascota
 - El usuario se encuenta en el paso 3 del proceso de carga de credencial
 - El usuario seleccionó tipo de mascota "Gato" en el paso 3 del proceso de carga de credencial</t>
  </si>
  <si>
    <t xml:space="preserve"> - El sistema lista correctamente todas las razas de gato</t>
  </si>
  <si>
    <t>CP-13</t>
  </si>
  <si>
    <t>Paso 3 - Navegar al paso 4</t>
  </si>
  <si>
    <t xml:space="preserve"> - Usuario autenticado
 - Usuario con al menos un plan sin mascota
 - El usuario se encuenta en el paso 3 del proceso de carga de credencial</t>
  </si>
  <si>
    <t>1. Seleccionar una raza
2. Presionar el botón continuar</t>
  </si>
  <si>
    <t xml:space="preserve"> - El sistema redirecciona al usuario al paso 4 del proceso de carga de credencial</t>
  </si>
  <si>
    <t>CP-14</t>
  </si>
  <si>
    <t>Paso 3 - Volver al paso 2</t>
  </si>
  <si>
    <t>CP-15</t>
  </si>
  <si>
    <t>Paso 4 - Seleccionar una fecha futura</t>
  </si>
  <si>
    <t xml:space="preserve"> - Usuario autenticado
 - Usuario con al menos un plan sin mascota
 - El usuario se encuenta en el paso 4 del proceso de carga de credencial</t>
  </si>
  <si>
    <t>1. Ingresar una fecha futura</t>
  </si>
  <si>
    <t xml:space="preserve"> - El sistema rechaza la fecha ingresada (puede mostrar mensaje de error)
 - El botón "Continuar" permanece deshabilitado</t>
  </si>
  <si>
    <t>CP-16</t>
  </si>
  <si>
    <t>Paso 4 - Navegar al paso 5</t>
  </si>
  <si>
    <t>1. Seleccionar una fecha (pasada)
2. Presionar el botón continuar</t>
  </si>
  <si>
    <t xml:space="preserve"> - El sistema redirecciona al usuario al paso 5 del proceso de carga de credencial</t>
  </si>
  <si>
    <t>CP-17</t>
  </si>
  <si>
    <t>Paso 4 - Volver al paso 3</t>
  </si>
  <si>
    <t>CP-18</t>
  </si>
  <si>
    <t>Paso 5 - Usar cámara - Cámara no disponible</t>
  </si>
  <si>
    <t xml:space="preserve"> - Usuario autenticado
 - Usuario con al menos un plan sin mascota
 - El usuario se encuenta en el paso 5 del proceso de carga de credencial
 - La cámara no se encuentra disponible para ser usada (desktop)</t>
  </si>
  <si>
    <t>1. VIsualizar la pantalla del paso 5</t>
  </si>
  <si>
    <t xml:space="preserve"> - La opción de usar cámara queda deshabilitado</t>
  </si>
  <si>
    <t>CP-19</t>
  </si>
  <si>
    <t>Paso 5 - Usar cámara - Cámara disponible</t>
  </si>
  <si>
    <t xml:space="preserve"> - Usuario autenticado
 - Usuario con al menos un plan sin mascota
 - El usuario se encuenta en el paso 5 del proceso de carga de credencial
 - La cámara se encuentra disponible para ser usada (desktop)</t>
  </si>
  <si>
    <t>1. Presionar el botón "Usar cámara"</t>
  </si>
  <si>
    <t xml:space="preserve"> - El sistema carga correctamente la funcionalidad de la cámara permitiendole al usuario tomar una foto</t>
  </si>
  <si>
    <t>CP-20</t>
  </si>
  <si>
    <t>1. Tomar una foto</t>
  </si>
  <si>
    <t xml:space="preserve"> - El sitema toma la foto correctamente
 - El botón continuar queda habilitado</t>
  </si>
  <si>
    <t>CP-21</t>
  </si>
  <si>
    <t>Paso 5 - Subir foto - Archivo en formato no permitido</t>
  </si>
  <si>
    <t xml:space="preserve"> - Usuario autenticado
 - Usuario con al menos un plan sin mascota
 - El usuario se encuenta en el paso 5 del proceso de carga de credencial</t>
  </si>
  <si>
    <t>1. A través de la opción de carga de foto, seleccionar un archivo que no sea de tipo imágen  (.jpg, .png)</t>
  </si>
  <si>
    <t xml:space="preserve"> - El sistema no permite seleccionar archivos que no sean de tipo imágen</t>
  </si>
  <si>
    <t>CP-22</t>
  </si>
  <si>
    <t>Paso 5 - Subir foto - Imágen demasiado grande</t>
  </si>
  <si>
    <t>1. Seleccionar una imágen de más de 5Mb de tamaño</t>
  </si>
  <si>
    <t xml:space="preserve"> - El sistema muestra un mensaje de error indicando que el tamaño de imágen seleccionado es demasiado grande</t>
  </si>
  <si>
    <t>CP-23</t>
  </si>
  <si>
    <t>Paso 5 - Subir foto correctamente</t>
  </si>
  <si>
    <t xml:space="preserve"> - La foto es subida correctamente
 - El usuario puede seleccionar otra imágen
 - El botón continuar queda habilitado</t>
  </si>
  <si>
    <t>CP-24</t>
  </si>
  <si>
    <t>Paso 5 - Continuar</t>
  </si>
  <si>
    <t>1. Seleccionar una foto / tomar una foto
2. Presionar el botón continuar</t>
  </si>
  <si>
    <t xml:space="preserve"> - El sistema realiza la carga de la credencial de forma exitosa (con la foto)</t>
  </si>
  <si>
    <t>CP-25</t>
  </si>
  <si>
    <t>Paso 5 - Omitir foto</t>
  </si>
  <si>
    <t>1. Presionar el botón "Omitir"</t>
  </si>
  <si>
    <t xml:space="preserve"> - El sistema realiza la carga de la credencial de forma exitosa (sin la foto)</t>
  </si>
  <si>
    <t>CP-26</t>
  </si>
  <si>
    <t>Paso 5 - Volver al paso 4</t>
  </si>
  <si>
    <t>TS-03 Ver Credenciales</t>
  </si>
  <si>
    <t>Credencial - Vetify - Ver crendencial</t>
  </si>
  <si>
    <t xml:space="preserve"> - Usuario registrado con un plan vigente
- Plan vigente con mascota asociada</t>
  </si>
  <si>
    <t>1. Iniciar sesión con un usuario con un plan vigente que tenga mascota asociada a al menos un plan
2. Navegar al perfil del usuario
3. Ir a la tab de "Mis planes"
4. Presionar el botón "Ver Credencial"</t>
  </si>
  <si>
    <t>El sistema muestra correctamente los datos de la mascota asociada al plan</t>
  </si>
  <si>
    <t>Credencial - Vetify - Descargar credencial</t>
  </si>
  <si>
    <t>1. Iniciar sesión con un usuario con un plan vigente que tenga mascota asociada a al menos un plan
2. Navegar al perfil del usuario
3. Ir a la tab de "Mis planes"
4. Presionar el botón "Ver Credencial"
5. Presionar el botón "Descargar"</t>
  </si>
  <si>
    <t>La credencial es descargada existosamente en un formato PDF con todos los datos correcto de la mascota</t>
  </si>
  <si>
    <t>TS-01 Iniciar flujo</t>
  </si>
  <si>
    <t>Iniciar flujo desde home</t>
  </si>
  <si>
    <t xml:space="preserve"> - Iniciar sesión con un usuario adquiriente</t>
  </si>
  <si>
    <t>1. En la página de Home, presionar el botón Videollamada (o "Ir a videollamadas")</t>
  </si>
  <si>
    <t>El sistema redirige al usuario a la pantalla de solicitud de videollamada</t>
  </si>
  <si>
    <t>Iniciar flujo desde página de servicios</t>
  </si>
  <si>
    <t>1. Navegar a la página de "Servicios"
2. Presionar sobre la opción "Videollamada"</t>
  </si>
  <si>
    <t>Iniciar flujo desde side-panel</t>
  </si>
  <si>
    <t>1. En la página de Home, abrir el menu lateral
2. Presionar la opción "Videollamada"</t>
  </si>
  <si>
    <t>TS-02 Agendar Videollamada - Paso 1</t>
  </si>
  <si>
    <t>Agendar videollamada - Paso 1 - Listar mascotas - Sin Mascotas</t>
  </si>
  <si>
    <t xml:space="preserve"> - Iniciar sesión con un usuario adquiriente sin mascota cargadas
 - El usuario se encuentra en la página de "Solicitar Videollamada"</t>
  </si>
  <si>
    <t>1. Visualizar la página de solicitud de videollamada</t>
  </si>
  <si>
    <t xml:space="preserve"> - El sistema muestra el botón/link para cargar credencial</t>
  </si>
  <si>
    <t>2. Presionar el botón continuar</t>
  </si>
  <si>
    <t xml:space="preserve"> - El sistema muestra un mensaje de error indicando que la selección de mascota es obligatoria</t>
  </si>
  <si>
    <t>Agendar videollamada - Paso 1 - Listar mascotas - 1 Mascota</t>
  </si>
  <si>
    <t xml:space="preserve"> - Iniciar sesión con un usuario adquiriente
 - Usuario con un solo plan activo
 - Plan con mascota asociado
 - El usuario se encuentra en la página de "Solicitar Videollamada"</t>
  </si>
  <si>
    <t xml:space="preserve"> - El sistema muestra a la única mascota listada como seleccionada</t>
  </si>
  <si>
    <t>Agendar videollamada - Paso 1 - Listar mascotas - Multiples mascotas</t>
  </si>
  <si>
    <t xml:space="preserve"> - Iniciar sesión con un usuario adquiriente
 - Usuario con más de un plan activo
 - Al menos dos planes tienen mascotas asociadas
 - El usuario se encuentra en la página de "Solicitar Videollamada"</t>
  </si>
  <si>
    <t xml:space="preserve"> - El sistema lista todas las mascotas cargadas para el usuario
 - Ninguna mascota se encuentra seleccioanda
 </t>
  </si>
  <si>
    <t>Agendar videollamada - Paso 1 - Campos obligatorios</t>
  </si>
  <si>
    <t xml:space="preserve"> - Iniciar sesión con un usuario adquiriente
 - Usuario con al menos un plan activo
 - El usuario tiene al menos una mascota cargada
 - El usuario se encuentra en la página de "Solicitar Videollamada"</t>
  </si>
  <si>
    <t>1. Visualizar la página de solicitud de videollamada
2. Presionar el botón continuar</t>
  </si>
  <si>
    <t xml:space="preserve"> - El sitema muestra que los siguientes campos son obligatorios:
     - Motivo de la consulta
     - Fecha y Hora de la consulta
     - Mascota</t>
  </si>
  <si>
    <t>Agendar videollamada - Paso 1 - Selección de fecha</t>
  </si>
  <si>
    <t>1. Visualizar la página de solicitud de videollamada
2. Seleccionar una fecha</t>
  </si>
  <si>
    <t xml:space="preserve"> - El sistema carga las horas donde los prestadores están disponible
 - El sistema solo permite seleccionar la fecha actual o fechas futuras (no fechas pasadas)
 - Si la fecha es del mismo día la próxima disponibilidad es al minimo 30 minutos despues de la hora actual</t>
  </si>
  <si>
    <t>Agendar videollamada - Paso 1 - Selección de Hora</t>
  </si>
  <si>
    <t>1. Visualizar la página de solicitud de videollamada
2. Seleccionar una fecha
3. Seleccionar una hora</t>
  </si>
  <si>
    <t xml:space="preserve"> - El usuario puede seleccionar una hora correctamente</t>
  </si>
  <si>
    <t>Agendar videollamada - Paso 1 - Continuar</t>
  </si>
  <si>
    <t xml:space="preserve">1. Visualizar la página de solicitud de videollamada
2. Seleccionar una mascota
3. Ingresar un motivo de consulta
4. Seleccionar una fecha
5. Seleccionar una hora
</t>
  </si>
  <si>
    <t>El sistema redirecciona correctament al segundo paso de la solicitud de videollamada</t>
  </si>
  <si>
    <t>Agendar videollamada - Paso 1 - Cancelar y reingresar</t>
  </si>
  <si>
    <t>1. Visualizar la página de solicitud de videollamada
2. Seleccionar una mascota
3. Ingresar un motivo de consulta
4. Seleccionar una fecha
5. Seleccionar una hora
6. Presionar el botón "Atras" (cancelar la solicitud)
7. Volver a ingresar a la página de solicitud de videollamada</t>
  </si>
  <si>
    <t>El sistema muestra todos los campos vacios. Todas la información ingresada ha sido ignorada</t>
  </si>
  <si>
    <t>TS-03 Agendar Videollamada - Paso 2</t>
  </si>
  <si>
    <t>Agendar videollamada - Paso 2 - Adjuntar archivo</t>
  </si>
  <si>
    <t xml:space="preserve"> - Iniciar sesión con un usuario adquiriente
 - Usuario con al menos un plan activo
 - El usuario tiene al menos una mascota cargada</t>
  </si>
  <si>
    <t>1. Ingresar todos los datos obligatorios del paso 1
2. Presionar el botón "Continuar"
3. Adjuntar un archivo (sin restricción de formato)</t>
  </si>
  <si>
    <t>El sistema permite subir un archivo correctamente</t>
  </si>
  <si>
    <t>Agendar videollamada - Paso 2 - Solicitar asistencia sin datos adicionales</t>
  </si>
  <si>
    <t>1. Ingresar todos los datos obligatorios del paso 1
2. Presionar el botón "Continuar"
3. Presionar el botón "Solicitar asistencia"</t>
  </si>
  <si>
    <t xml:space="preserve"> - El sistema registra correctamente la solicitud de videollamada
 - En SISE se visualiza correctamente la generación de un expediente con todos los datos ingresados
 - El usuario recibe un email de confirmación de la solicitud de videollamada</t>
  </si>
  <si>
    <t>Agendar videollamada - Paso 2 - Solicitar asistencia solo con archivo</t>
  </si>
  <si>
    <t>1. Ingresar todos los datos obligatorios del paso 1
2. Presionar el botón "Continuar"
3. Adjuntar un archivo 
4. Presionar el botón "Solicitar asistencia"</t>
  </si>
  <si>
    <t>Agendar videollamada - Paso 2 - Solicitar asistencia solo con comentarios</t>
  </si>
  <si>
    <t>1. Ingresar todos los datos obligatorios del paso 1
2. Presionar el botón "Continuar"
3. Ingresar un comentario adicionar
4. Presionar el botón "Solicitar asistencia"</t>
  </si>
  <si>
    <t>Agendar videollamada - Paso 2 - Solicitar asistencia con comentarios y archivo</t>
  </si>
  <si>
    <t>1. Ingresar todos los datos obligatorios del paso 1
2. Presionar el botón "Continuar"
3. Adjuntar un archivo
4. Ingresar un comentario adicionar
5. Presionar el botón "Solicitar asistencia"</t>
  </si>
  <si>
    <t>TS-04 Videollamadas agendadas</t>
  </si>
  <si>
    <t>Videollamadas - Listado en la Home - Una videollamada</t>
  </si>
  <si>
    <t xml:space="preserve"> - Iniciar sesión con un usuario adquiriente
 - Usuario tiene una única videollamada agendada</t>
  </si>
  <si>
    <t>1. Ingresar a la pantalla de Home</t>
  </si>
  <si>
    <t>El sistema muestra correctamente la videollamada en la página de home</t>
  </si>
  <si>
    <t>Videollamadas - Listado en la Home - Multiples videollamadas</t>
  </si>
  <si>
    <t xml:space="preserve"> - Iniciar sesión con un usuario adquiriente
 - Usuario tiene más de una videollamada agendada</t>
  </si>
  <si>
    <t>El sistema muestra todas las videollamadas solicitadas (futuras) ordenadas de más próxima a más lejana (segun la fecha seleccionada de atención)</t>
  </si>
  <si>
    <t>Videollamadas - Ver</t>
  </si>
  <si>
    <t>1. Ingresar a la pantalla de Home
2. Hacer click en una solicitud de videollamada</t>
  </si>
  <si>
    <t>El sistema carga correctamente la página de visualización de la solicitud de videollamada</t>
  </si>
  <si>
    <t>TS-05 Editar Videollamada</t>
  </si>
  <si>
    <t>Videollamadas - Editar - Cambiar mascota</t>
  </si>
  <si>
    <t xml:space="preserve"> - Iniciar sesión con un usuario adquiriente
 - El usuario tiene al menos dos mascotas cargadas 
 - El usuario tiene al menos una videollamada agendada a una fecha futura</t>
  </si>
  <si>
    <t>1. Ingresar a la pantalla de Home
2. Hacer click en una solicitud de videollamada
3. Seleccionar otra mascota</t>
  </si>
  <si>
    <t xml:space="preserve"> - El sistema permite seleccionar otra mascota
 - - El botón "Guardar" queda activo</t>
  </si>
  <si>
    <t>Videollamadas - Editar - Reprogramar</t>
  </si>
  <si>
    <t xml:space="preserve"> - Iniciar sesión con un usuario adquiriente
 - El usuario tiene al menos una videollamada agendada a una fecha futura</t>
  </si>
  <si>
    <t>1. Ingresar a la pantalla de Home
2. Hacer click en una solicitud de videollamada
3. Hacer click en el botón "Reprogramar"
4. Confirmar la reprogramación
5. Seleccionar una fecha
6. Seleccionar una hora
7. Presionar el botón "Continuar"</t>
  </si>
  <si>
    <t xml:space="preserve"> - El sistema reprograma correctamente la videollamada
 - El sistema muestra un mensaje para confirmar la reprogramación
 - El botón guardar no queda activo
 - La nueva fecha/hora se visualiza en la pantalla de ver la videollamada agendada</t>
  </si>
  <si>
    <t>Videollamadas - Editar - Cambiar motivo de consulta</t>
  </si>
  <si>
    <t>1. Ingresar a la pantalla de Home
2. Hacer click en una solicitud de videollamada
3. Cambiar el motivo de consulta</t>
  </si>
  <si>
    <t xml:space="preserve"> - El motivo de consulta no queda guardado
 - El botón "Guardar" queda activo</t>
  </si>
  <si>
    <t>Videollamadas - Editar - Cambiar adjunto - Sin Archivo Adjunto</t>
  </si>
  <si>
    <t xml:space="preserve"> - Iniciar sesión con un usuario adquiriente
 - El usuario tiene al menos una videollamada agendada a una fecha futura sin archivo adjunto</t>
  </si>
  <si>
    <t>1. Ingresar a la pantalla de Home
2. Hacer click en una solicitud de videollamada sin un archivo adjunto
3. Seleccionar el menos un archivo</t>
  </si>
  <si>
    <t xml:space="preserve"> - El botón "Guardar" queda activo
 - Por cada nuevo archivo
    - Es subido (no guardado) 
    - El nombre del archivo es mostrado correctamente
    - Permite ser descartado. </t>
  </si>
  <si>
    <t>Videollamadas - Editar - Cambiar adjunto - Con Archivo Adjunto</t>
  </si>
  <si>
    <t xml:space="preserve"> - Iniciar sesión con un usuario adquiriente
 - El usuario tiene al menos una videollamada agendada a una fecha futura con archivo adjunto</t>
  </si>
  <si>
    <t>1. Ingresar a la pantalla de Home
2. Hacer click en una solicitud de videollamada con un archivo adjunto
3. Seleccionar el menos un archivo</t>
  </si>
  <si>
    <t xml:space="preserve"> - El botón "Guardar" queda activo
 - Los archivos existentes no sufren cambios
 - Por cada nuevo archivo
    - Es subido (no guardado) 
    - El nombre del archivo es mostrado correctamente
    - Permite ser descartado. </t>
  </si>
  <si>
    <t>Videollamadas - Editar - Cancelar modificaciones</t>
  </si>
  <si>
    <t xml:space="preserve"> - Iniciar sesión con un usuario adquiriente
 - El usuario tiene al menos una videollamada agendada
 - El usuario tiene al menos dos mascota cargada</t>
  </si>
  <si>
    <t>1. Ingresar a la pantalla de Home
2. Hacer click en una solicitud de videollamada 
3. Seleccionar otra mascota
4. Cambiar el motivo de consulta
5. Cambiar el archivo adjunto
6. Presionar el botón "Cancelar"</t>
  </si>
  <si>
    <t xml:space="preserve"> - El sistema cierra la pantalla y retorna a la home 
 - Ningún cambio es registrado</t>
  </si>
  <si>
    <t>Videollamadas - Editar</t>
  </si>
  <si>
    <t xml:space="preserve"> - Iniciar sesión con un usuario adquiriente
 - El usuario tiene al menos una videollamada agendada a una fecha futura
 - El usuario tiene al menos dos mascota cargada</t>
  </si>
  <si>
    <t>1. Ingresar a la pantalla de Home
2. Hacer click en una solicitud de videollamada
3. Seleccionar otra mascota
4. Cambiar el motivo de consulta
5. Cambiar el archivo adjunto
6. Presionar el botón "Guardar"</t>
  </si>
  <si>
    <t xml:space="preserve"> - El sistema cierra la pantalla y retorna a la home 
 - Todos los cambios han sido modificado correctamente
 - El usuario recibe un email con la modificación de la solicitud de videollamada</t>
  </si>
  <si>
    <t>TS-06 Cancelar Videollamada</t>
  </si>
  <si>
    <t>VIdeollamadas - Cancelar Turno - Listados de motivos</t>
  </si>
  <si>
    <t>1. Ingresar a la pantalla de Home
2. Hacer click en una solicitud de videollamada
3. Presionar el botón de "Cancelar" (cancelar videollamada)
4. Desplegar el listado de motivos de cancelación</t>
  </si>
  <si>
    <t xml:space="preserve"> - El sistema muestra correctamente los motivos de cancelación optenidos desde la API</t>
  </si>
  <si>
    <t>VIdeollamadas - Cancelar Turno - No cancelar</t>
  </si>
  <si>
    <t>1. Ingresar a la pantalla de Home
2. Hacer click en una solicitud de videollamada
3. Presionar el botón de "Cancelar" (cancelar videollamada)
4. Cerrar el modal de selección de motivo de cancelación</t>
  </si>
  <si>
    <t xml:space="preserve"> - El modal de selección de motivo de cancelación es cerrado
 - La videollamada no es cancelada </t>
  </si>
  <si>
    <t>VIdeollamadas - Cancelar Turno - Confirmar cancelación</t>
  </si>
  <si>
    <t>1. Ingresar a la pantalla de Home
2. Hacer click en una solicitud de videollamada
3. Presionar el botón de "Cancelar" (cancelar videollamada)
4. Seleccionar un motivo de cancelación
5. Presionar el botón " Cancelar turno"</t>
  </si>
  <si>
    <t xml:space="preserve"> - El turno es cancelado correctamente
 - El usuario recibe un email de cancelación de turno
 - El turno es cancelado correctamente en SISE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</si>
</sst>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Calibri"/>
      <family val="2"/>
      <scheme val="minor"/>
    </font>
    <font>
      <sz val="11"/>
      <color theme="0"/>
      <name val="Calibri"/>
      <family val="2"/>
      <scheme val="minor"/>
    </font>
    <font>
      <sz val="20"/>
      <color theme="0"/>
      <name val="Nirmala UI"/>
    </font>
    <font>
      <sz val="72"/>
      <color theme="1"/>
      <name val="Calibri"/>
      <family val="2"/>
      <scheme val="minor"/>
    </font>
    <font>
      <sz val="16"/>
      <color theme="0"/>
      <name val="Calibri"/>
      <family val="2"/>
      <scheme val="minor"/>
    </font>
    <font>
      <sz val="11"/>
      <color rgb="FF000000"/>
      <name val="Calibri"/>
      <family val="2"/>
      <scheme val="minor"/>
    </font>
  </fonts>
  <fills count="17">
    <fill>
      <patternFill patternType="none"/>
    </fill>
    <fill>
      <patternFill patternType="gray125"/>
    </fill>
    <fill>
      <patternFill patternType="solid">
        <fgColor rgb="FF0070C0"/>
        <bgColor indexed="64"/>
      </patternFill>
    </fill>
    <fill>
      <patternFill patternType="solid">
        <fgColor theme="9" tint="-0.249977111117893"/>
        <bgColor indexed="64"/>
      </patternFill>
    </fill>
    <fill>
      <patternFill patternType="solid">
        <fgColor theme="0" tint="-0.14999847407452621"/>
        <bgColor indexed="64"/>
      </patternFill>
    </fill>
    <fill>
      <patternFill patternType="solid">
        <fgColor theme="9" tint="0.79998168889431442"/>
        <bgColor indexed="64"/>
      </patternFill>
    </fill>
    <fill>
      <patternFill patternType="solid">
        <fgColor theme="4" tint="0.79998168889431442"/>
        <bgColor indexed="64"/>
      </patternFill>
    </fill>
    <fill>
      <patternFill patternType="solid">
        <fgColor theme="0"/>
        <bgColor indexed="64"/>
      </patternFill>
    </fill>
    <fill>
      <patternFill patternType="solid">
        <fgColor rgb="FFFFC000"/>
        <bgColor indexed="64"/>
      </patternFill>
    </fill>
    <fill>
      <patternFill patternType="solid">
        <fgColor rgb="FF002060"/>
        <bgColor indexed="64"/>
      </patternFill>
    </fill>
    <fill>
      <patternFill patternType="solid">
        <fgColor rgb="FF00B050"/>
        <bgColor indexed="64"/>
      </patternFill>
    </fill>
    <fill>
      <patternFill patternType="solid">
        <fgColor theme="0" tint="-4.9989318521683403E-2"/>
        <bgColor indexed="64"/>
      </patternFill>
    </fill>
    <fill>
      <patternFill patternType="solid">
        <fgColor rgb="FFFF0000"/>
        <bgColor indexed="64"/>
      </patternFill>
    </fill>
    <fill>
      <patternFill patternType="solid">
        <fgColor theme="1" tint="0.34998626667073579"/>
        <bgColor indexed="64"/>
      </patternFill>
    </fill>
    <fill>
      <patternFill patternType="solid">
        <fgColor theme="9" tint="0.59999389629810485"/>
        <bgColor indexed="64"/>
      </patternFill>
    </fill>
    <fill>
      <patternFill patternType="solid">
        <fgColor theme="0" tint="-0.249977111117893"/>
        <bgColor indexed="64"/>
      </patternFill>
    </fill>
    <fill>
      <patternFill patternType="solid">
        <fgColor theme="8" tint="0.79998168889431442"/>
        <bgColor indexed="64"/>
      </patternFill>
    </fill>
  </fills>
  <borders count="9">
    <border>
      <left/>
      <right/>
      <top/>
      <bottom/>
      <diagonal/>
    </border>
    <border>
      <left style="medium">
        <color rgb="FF000000"/>
      </left>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diagonal/>
    </border>
    <border>
      <left/>
      <right style="medium">
        <color rgb="FF000000"/>
      </right>
      <top/>
      <bottom/>
      <diagonal/>
    </border>
    <border>
      <left style="medium">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s>
  <cellStyleXfs count="1">
    <xf numFmtId="0" fontId="0" fillId="0" borderId="0"/>
  </cellStyleXfs>
  <cellXfs count="72">
    <xf numFmtId="0" fontId="0" fillId="0" borderId="0" xfId="0"/>
    <xf numFmtId="0" fontId="0" fillId="0" borderId="0" xfId="0" applyAlignment="1">
      <alignment vertical="center" wrapText="1"/>
    </xf>
    <xf numFmtId="0" fontId="1" fillId="3" borderId="0" xfId="0" applyFont="1" applyFill="1" applyAlignment="1">
      <alignment vertical="center" wrapText="1"/>
    </xf>
    <xf numFmtId="0" fontId="0" fillId="5" borderId="0" xfId="0" applyFill="1" applyAlignment="1">
      <alignment vertical="center" wrapText="1"/>
    </xf>
    <xf numFmtId="0" fontId="0" fillId="4" borderId="0" xfId="0" applyFill="1" applyAlignment="1">
      <alignment vertical="center" wrapText="1"/>
    </xf>
    <xf numFmtId="0" fontId="0" fillId="6" borderId="0" xfId="0" applyFill="1" applyAlignment="1">
      <alignment vertical="center" wrapText="1"/>
    </xf>
    <xf numFmtId="0" fontId="0" fillId="7" borderId="0" xfId="0" applyFill="1" applyAlignment="1">
      <alignment vertical="center" wrapText="1"/>
    </xf>
    <xf numFmtId="0" fontId="1" fillId="3" borderId="0" xfId="0" applyFont="1" applyFill="1" applyAlignment="1">
      <alignment horizontal="center" vertical="center" wrapText="1"/>
    </xf>
    <xf numFmtId="0" fontId="0" fillId="0" borderId="0" xfId="0" applyAlignment="1">
      <alignment horizontal="center" vertical="center" wrapText="1"/>
    </xf>
    <xf numFmtId="0" fontId="0" fillId="4" borderId="0" xfId="0" applyFill="1" applyAlignment="1">
      <alignment horizontal="center" vertical="center" wrapText="1"/>
    </xf>
    <xf numFmtId="0" fontId="1" fillId="3" borderId="0" xfId="0" applyFont="1" applyFill="1" applyAlignment="1">
      <alignment horizontal="left" vertical="center" wrapText="1"/>
    </xf>
    <xf numFmtId="0" fontId="0" fillId="0" borderId="0" xfId="0" applyAlignment="1">
      <alignment horizontal="left" vertical="center" wrapText="1"/>
    </xf>
    <xf numFmtId="0" fontId="0" fillId="8" borderId="0" xfId="0" applyFill="1" applyAlignment="1">
      <alignment horizontal="left" vertical="center" wrapText="1"/>
    </xf>
    <xf numFmtId="0" fontId="0" fillId="0" borderId="0" xfId="0" applyAlignment="1">
      <alignment vertical="center"/>
    </xf>
    <xf numFmtId="0" fontId="1" fillId="2" borderId="0" xfId="0" applyFont="1" applyFill="1" applyAlignment="1">
      <alignment horizontal="center" vertical="center" wrapText="1"/>
    </xf>
    <xf numFmtId="0" fontId="0" fillId="0" borderId="0" xfId="0" applyAlignment="1">
      <alignment horizontal="center" vertical="center"/>
    </xf>
    <xf numFmtId="0" fontId="0" fillId="11" borderId="0" xfId="0" applyFill="1"/>
    <xf numFmtId="0" fontId="1" fillId="12" borderId="0" xfId="0" applyFont="1" applyFill="1"/>
    <xf numFmtId="0" fontId="1" fillId="10" borderId="0" xfId="0" applyFont="1" applyFill="1"/>
    <xf numFmtId="0" fontId="0" fillId="11" borderId="0" xfId="0" applyFill="1" applyAlignment="1">
      <alignment horizontal="center"/>
    </xf>
    <xf numFmtId="0" fontId="0" fillId="5" borderId="0" xfId="0" applyFill="1" applyAlignment="1">
      <alignment horizontal="left" vertical="center" wrapText="1"/>
    </xf>
    <xf numFmtId="0" fontId="0" fillId="11" borderId="0" xfId="0" applyFill="1" applyAlignment="1">
      <alignment horizontal="center" vertical="center"/>
    </xf>
    <xf numFmtId="0" fontId="5" fillId="14" borderId="0" xfId="0" applyFont="1" applyFill="1"/>
    <xf numFmtId="0" fontId="0" fillId="15" borderId="0" xfId="0" applyFill="1" applyAlignment="1">
      <alignment horizontal="center" vertical="center"/>
    </xf>
    <xf numFmtId="0" fontId="0" fillId="15" borderId="0" xfId="0" applyFill="1" applyAlignment="1">
      <alignment vertical="center"/>
    </xf>
    <xf numFmtId="0" fontId="0" fillId="15" borderId="0" xfId="0" applyFill="1" applyAlignment="1">
      <alignment vertical="center" wrapText="1"/>
    </xf>
    <xf numFmtId="0" fontId="0" fillId="5" borderId="0" xfId="0" applyFill="1" applyAlignment="1">
      <alignment horizontal="center" vertical="center"/>
    </xf>
    <xf numFmtId="0" fontId="0" fillId="5" borderId="0" xfId="0" applyFill="1" applyAlignment="1">
      <alignment horizontal="center" vertical="center" wrapText="1"/>
    </xf>
    <xf numFmtId="0" fontId="0" fillId="16" borderId="0" xfId="0" applyFill="1" applyAlignment="1">
      <alignment horizontal="center" vertical="center"/>
    </xf>
    <xf numFmtId="0" fontId="0" fillId="6" borderId="0" xfId="0" applyFill="1" applyAlignment="1">
      <alignment horizontal="center" vertical="center" wrapText="1"/>
    </xf>
    <xf numFmtId="0" fontId="0" fillId="5" borderId="0" xfId="0" applyFill="1" applyAlignment="1">
      <alignment vertical="center"/>
    </xf>
    <xf numFmtId="0" fontId="0" fillId="0" borderId="0" xfId="0" applyAlignment="1">
      <alignment horizontal="center"/>
    </xf>
    <xf numFmtId="0" fontId="1" fillId="6" borderId="0" xfId="0" applyFont="1" applyFill="1"/>
    <xf numFmtId="0" fontId="0" fillId="16" borderId="0" xfId="0" applyFill="1" applyAlignment="1">
      <alignment vertical="center"/>
    </xf>
    <xf numFmtId="0" fontId="0" fillId="16" borderId="0" xfId="0" applyFill="1" applyAlignment="1">
      <alignment vertical="center" wrapText="1"/>
    </xf>
    <xf numFmtId="0" fontId="1" fillId="8" borderId="0" xfId="0" applyFont="1" applyFill="1"/>
    <xf numFmtId="0" fontId="1" fillId="2" borderId="0" xfId="0" applyFont="1" applyFill="1" applyAlignment="1">
      <alignment vertical="center" wrapText="1"/>
    </xf>
    <xf numFmtId="0" fontId="1" fillId="2" borderId="0" xfId="0" applyFont="1" applyFill="1" applyAlignment="1">
      <alignment horizontal="left" vertical="center" wrapText="1"/>
    </xf>
    <xf numFmtId="0" fontId="0" fillId="4" borderId="0" xfId="0" applyFill="1" applyAlignment="1">
      <alignment horizontal="left" vertical="center" wrapText="1"/>
    </xf>
    <xf numFmtId="0" fontId="0" fillId="16" borderId="0" xfId="0" applyFill="1" applyAlignment="1">
      <alignment horizontal="center" vertical="center" wrapText="1"/>
    </xf>
    <xf numFmtId="0" fontId="0" fillId="5" borderId="0" xfId="0"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left" vertical="center" wrapText="1"/>
    </xf>
    <xf numFmtId="0" fontId="4" fillId="13" borderId="0" xfId="0" applyFont="1" applyFill="1" applyAlignment="1">
      <alignment horizontal="center" vertical="center"/>
    </xf>
    <xf numFmtId="0" fontId="2" fillId="9" borderId="1" xfId="0" applyFont="1" applyFill="1" applyBorder="1" applyAlignment="1">
      <alignment horizontal="center" vertical="center"/>
    </xf>
    <xf numFmtId="0" fontId="2" fillId="9" borderId="2" xfId="0" applyFont="1" applyFill="1" applyBorder="1" applyAlignment="1">
      <alignment horizontal="center" vertical="center"/>
    </xf>
    <xf numFmtId="0" fontId="2" fillId="9" borderId="3" xfId="0" applyFont="1" applyFill="1" applyBorder="1" applyAlignment="1">
      <alignment horizontal="center" vertical="center"/>
    </xf>
    <xf numFmtId="0" fontId="2" fillId="9" borderId="4" xfId="0" applyFont="1" applyFill="1" applyBorder="1" applyAlignment="1">
      <alignment horizontal="center" vertical="center"/>
    </xf>
    <xf numFmtId="0" fontId="2" fillId="9" borderId="0" xfId="0" applyFont="1" applyFill="1" applyAlignment="1">
      <alignment horizontal="center" vertical="center"/>
    </xf>
    <xf numFmtId="0" fontId="2" fillId="9" borderId="5" xfId="0" applyFont="1" applyFill="1" applyBorder="1" applyAlignment="1">
      <alignment horizontal="center" vertical="center"/>
    </xf>
    <xf numFmtId="9" fontId="3" fillId="0" borderId="4" xfId="0" applyNumberFormat="1" applyFont="1" applyBorder="1" applyAlignment="1">
      <alignment horizontal="center" vertical="center"/>
    </xf>
    <xf numFmtId="9" fontId="3" fillId="0" borderId="0" xfId="0" applyNumberFormat="1" applyFont="1" applyAlignment="1">
      <alignment horizontal="center" vertical="center"/>
    </xf>
    <xf numFmtId="9" fontId="3" fillId="0" borderId="5" xfId="0" applyNumberFormat="1" applyFont="1" applyBorder="1" applyAlignment="1">
      <alignment horizontal="center" vertical="center"/>
    </xf>
    <xf numFmtId="9" fontId="3" fillId="0" borderId="6" xfId="0" applyNumberFormat="1" applyFont="1" applyBorder="1" applyAlignment="1">
      <alignment horizontal="center" vertical="center"/>
    </xf>
    <xf numFmtId="9" fontId="3" fillId="0" borderId="7" xfId="0" applyNumberFormat="1" applyFont="1" applyBorder="1" applyAlignment="1">
      <alignment horizontal="center" vertical="center"/>
    </xf>
    <xf numFmtId="9" fontId="3" fillId="0" borderId="8" xfId="0" applyNumberFormat="1" applyFont="1" applyBorder="1" applyAlignment="1">
      <alignment horizontal="center" vertical="center"/>
    </xf>
    <xf numFmtId="0" fontId="3" fillId="0" borderId="4" xfId="0" applyFont="1" applyBorder="1" applyAlignment="1">
      <alignment horizontal="center" vertical="center"/>
    </xf>
    <xf numFmtId="0" fontId="3" fillId="0" borderId="0" xfId="0" applyFont="1" applyAlignment="1">
      <alignment horizontal="center" vertical="center"/>
    </xf>
    <xf numFmtId="0" fontId="3" fillId="0" borderId="5" xfId="0" applyFont="1" applyBorder="1" applyAlignment="1">
      <alignment horizontal="center" vertical="center"/>
    </xf>
    <xf numFmtId="0" fontId="3" fillId="0" borderId="6" xfId="0" applyFont="1" applyBorder="1" applyAlignment="1">
      <alignment horizontal="center" vertical="center"/>
    </xf>
    <xf numFmtId="0" fontId="3" fillId="0" borderId="7" xfId="0" applyFont="1" applyBorder="1" applyAlignment="1">
      <alignment horizontal="center" vertical="center"/>
    </xf>
    <xf numFmtId="0" fontId="3" fillId="0" borderId="8" xfId="0" applyFont="1" applyBorder="1" applyAlignment="1">
      <alignment horizontal="center" vertical="center"/>
    </xf>
    <xf numFmtId="0" fontId="0" fillId="0" borderId="0" xfId="0" applyAlignment="1">
      <alignment vertical="center" wrapText="1"/>
    </xf>
    <xf numFmtId="0" fontId="1" fillId="2" borderId="0" xfId="0" applyFont="1" applyFill="1" applyAlignment="1">
      <alignment horizontal="center" vertical="center" wrapText="1"/>
    </xf>
    <xf numFmtId="0" fontId="0" fillId="5" borderId="0" xfId="0" applyFill="1" applyAlignment="1">
      <alignment horizontal="center" vertical="center"/>
    </xf>
    <xf numFmtId="0" fontId="0" fillId="16" borderId="0" xfId="0" applyFill="1" applyAlignment="1">
      <alignment horizontal="center" vertical="center"/>
    </xf>
    <xf numFmtId="0" fontId="0" fillId="16" borderId="0" xfId="0" applyFill="1" applyAlignment="1">
      <alignment horizontal="center" vertical="center" wrapText="1"/>
    </xf>
    <xf numFmtId="0" fontId="0" fillId="16" borderId="0" xfId="0" applyFill="1" applyAlignment="1">
      <alignment horizontal="left" vertical="center"/>
    </xf>
    <xf numFmtId="0" fontId="0" fillId="16" borderId="0" xfId="0" applyFill="1" applyAlignment="1">
      <alignment horizontal="left" vertical="center" wrapText="1"/>
    </xf>
    <xf numFmtId="0" fontId="0" fillId="16" borderId="0" xfId="0" applyFill="1" applyAlignment="1">
      <alignment horizontal="left" vertical="center" wrapText="1"/>
    </xf>
    <xf numFmtId="0" fontId="5" fillId="5" borderId="0" xfId="0" applyFont="1" applyFill="1" applyAlignment="1">
      <alignment vertical="center" wrapText="1"/>
    </xf>
    <xf numFmtId="0" fontId="5" fillId="5" borderId="0" xfId="0" applyFont="1" applyFill="1" applyAlignment="1">
      <alignment horizontal="left" vertical="center" wrapText="1"/>
    </xf>
  </cellXfs>
  <cellStyles count="1">
    <cellStyle name="Normal" xfId="0" builtinId="0"/>
  </cellStyles>
  <dxfs count="30">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avier Caballero (EXT)" id="{2C98EC10-9BBB-4DEA-885B-53F60607CD02}" userId="S::jcaballero.ext@ikeasistencia.com.ar::05652e2a-0019-4128-b559-e2cf8c849fbe"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G11" dT="2026-06-05T17:18:32.19" personId="{2C98EC10-9BBB-4DEA-885B-53F60607CD02}" id="{3BD9547E-8410-4428-AF94-4B104BE5B4AE}">
    <text>Las nuevas contrataciones demora demasiado tiempo en estar activas lo que imposibilita la implementación completa de este flujo</text>
  </threadedComment>
  <threadedComment ref="H11" dT="2026-06-05T17:18:32.19" personId="{2C98EC10-9BBB-4DEA-885B-53F60607CD02}" id="{0DEA1256-7C74-496E-B5E9-8D0D350BF265}">
    <text>Las nuevas contrataciones demora demasiado tiempo en estar activas lo que imposibilita la implementación completa de este flujo</text>
  </threadedComment>
</ThreadedComments>
</file>

<file path=xl/worksheets/_rels/sheet2.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655627-057B-4493-8E6B-74516D57E040}">
  <sheetPr>
    <tabColor rgb="FF0070C0"/>
  </sheetPr>
  <dimension ref="C3:X51"/>
  <sheetViews>
    <sheetView topLeftCell="A12" workbookViewId="0">
      <selection activeCell="AA16" sqref="AA16"/>
    </sheetView>
  </sheetViews>
  <sheetFormatPr defaultRowHeight="15"/>
  <sheetData>
    <row r="3" spans="3:24">
      <c r="C3" s="44" t="s">
        <v>0</v>
      </c>
      <c r="D3" s="45"/>
      <c r="E3" s="45"/>
      <c r="F3" s="45"/>
      <c r="G3" s="45"/>
      <c r="H3" s="46"/>
      <c r="K3" s="44" t="s">
        <v>1</v>
      </c>
      <c r="L3" s="45"/>
      <c r="M3" s="45"/>
      <c r="N3" s="45"/>
      <c r="O3" s="45"/>
      <c r="P3" s="46"/>
      <c r="S3" s="44" t="s">
        <v>2</v>
      </c>
      <c r="T3" s="45"/>
      <c r="U3" s="45"/>
      <c r="V3" s="45"/>
      <c r="W3" s="45"/>
      <c r="X3" s="46"/>
    </row>
    <row r="4" spans="3:24">
      <c r="C4" s="47"/>
      <c r="D4" s="48"/>
      <c r="E4" s="48"/>
      <c r="F4" s="48"/>
      <c r="G4" s="48"/>
      <c r="H4" s="49"/>
      <c r="K4" s="47"/>
      <c r="L4" s="48"/>
      <c r="M4" s="48"/>
      <c r="N4" s="48"/>
      <c r="O4" s="48"/>
      <c r="P4" s="49"/>
      <c r="S4" s="47"/>
      <c r="T4" s="48"/>
      <c r="U4" s="48"/>
      <c r="V4" s="48"/>
      <c r="W4" s="48"/>
      <c r="X4" s="49"/>
    </row>
    <row r="5" spans="3:24">
      <c r="C5" s="56">
        <f>COUNTA(Perfil!C3:C184,'Registración y Adquisición'!C3:C200,Videollamadas!C3:C199,Reintegros!C2:C199,Misceláneas!C2:C199)</f>
        <v>68</v>
      </c>
      <c r="D5" s="57"/>
      <c r="E5" s="57"/>
      <c r="F5" s="57"/>
      <c r="G5" s="57"/>
      <c r="H5" s="58"/>
      <c r="K5" s="56">
        <f>COUNTIF('Registración y Adquisición'!H:H, "Si")+COUNTIF(Perfil!G:G, "Si")+COUNTIF(Credenciales!H:H, "Si")+COUNTIF(Videollamadas!H:H, "Si")+COUNTIF(Reintegros!G:G, "Si")</f>
        <v>21</v>
      </c>
      <c r="L5" s="57"/>
      <c r="M5" s="57"/>
      <c r="N5" s="57"/>
      <c r="O5" s="57"/>
      <c r="P5" s="58"/>
      <c r="S5" s="50">
        <f>K5/C5</f>
        <v>0.30882352941176472</v>
      </c>
      <c r="T5" s="51"/>
      <c r="U5" s="51"/>
      <c r="V5" s="51"/>
      <c r="W5" s="51"/>
      <c r="X5" s="52"/>
    </row>
    <row r="6" spans="3:24">
      <c r="C6" s="56"/>
      <c r="D6" s="57"/>
      <c r="E6" s="57"/>
      <c r="F6" s="57"/>
      <c r="G6" s="57"/>
      <c r="H6" s="58"/>
      <c r="K6" s="56"/>
      <c r="L6" s="57"/>
      <c r="M6" s="57"/>
      <c r="N6" s="57"/>
      <c r="O6" s="57"/>
      <c r="P6" s="58"/>
      <c r="S6" s="50"/>
      <c r="T6" s="51"/>
      <c r="U6" s="51"/>
      <c r="V6" s="51"/>
      <c r="W6" s="51"/>
      <c r="X6" s="52"/>
    </row>
    <row r="7" spans="3:24">
      <c r="C7" s="56"/>
      <c r="D7" s="57"/>
      <c r="E7" s="57"/>
      <c r="F7" s="57"/>
      <c r="G7" s="57"/>
      <c r="H7" s="58"/>
      <c r="K7" s="56"/>
      <c r="L7" s="57"/>
      <c r="M7" s="57"/>
      <c r="N7" s="57"/>
      <c r="O7" s="57"/>
      <c r="P7" s="58"/>
      <c r="S7" s="50"/>
      <c r="T7" s="51"/>
      <c r="U7" s="51"/>
      <c r="V7" s="51"/>
      <c r="W7" s="51"/>
      <c r="X7" s="52"/>
    </row>
    <row r="8" spans="3:24">
      <c r="C8" s="56"/>
      <c r="D8" s="57"/>
      <c r="E8" s="57"/>
      <c r="F8" s="57"/>
      <c r="G8" s="57"/>
      <c r="H8" s="58"/>
      <c r="K8" s="56"/>
      <c r="L8" s="57"/>
      <c r="M8" s="57"/>
      <c r="N8" s="57"/>
      <c r="O8" s="57"/>
      <c r="P8" s="58"/>
      <c r="S8" s="50"/>
      <c r="T8" s="51"/>
      <c r="U8" s="51"/>
      <c r="V8" s="51"/>
      <c r="W8" s="51"/>
      <c r="X8" s="52"/>
    </row>
    <row r="9" spans="3:24">
      <c r="C9" s="56"/>
      <c r="D9" s="57"/>
      <c r="E9" s="57"/>
      <c r="F9" s="57"/>
      <c r="G9" s="57"/>
      <c r="H9" s="58"/>
      <c r="K9" s="56"/>
      <c r="L9" s="57"/>
      <c r="M9" s="57"/>
      <c r="N9" s="57"/>
      <c r="O9" s="57"/>
      <c r="P9" s="58"/>
      <c r="S9" s="50"/>
      <c r="T9" s="51"/>
      <c r="U9" s="51"/>
      <c r="V9" s="51"/>
      <c r="W9" s="51"/>
      <c r="X9" s="52"/>
    </row>
    <row r="10" spans="3:24">
      <c r="C10" s="56"/>
      <c r="D10" s="57"/>
      <c r="E10" s="57"/>
      <c r="F10" s="57"/>
      <c r="G10" s="57"/>
      <c r="H10" s="58"/>
      <c r="K10" s="56"/>
      <c r="L10" s="57"/>
      <c r="M10" s="57"/>
      <c r="N10" s="57"/>
      <c r="O10" s="57"/>
      <c r="P10" s="58"/>
      <c r="S10" s="50"/>
      <c r="T10" s="51"/>
      <c r="U10" s="51"/>
      <c r="V10" s="51"/>
      <c r="W10" s="51"/>
      <c r="X10" s="52"/>
    </row>
    <row r="11" spans="3:24">
      <c r="C11" s="56"/>
      <c r="D11" s="57"/>
      <c r="E11" s="57"/>
      <c r="F11" s="57"/>
      <c r="G11" s="57"/>
      <c r="H11" s="58"/>
      <c r="K11" s="56"/>
      <c r="L11" s="57"/>
      <c r="M11" s="57"/>
      <c r="N11" s="57"/>
      <c r="O11" s="57"/>
      <c r="P11" s="58"/>
      <c r="S11" s="50"/>
      <c r="T11" s="51"/>
      <c r="U11" s="51"/>
      <c r="V11" s="51"/>
      <c r="W11" s="51"/>
      <c r="X11" s="52"/>
    </row>
    <row r="12" spans="3:24">
      <c r="C12" s="56"/>
      <c r="D12" s="57"/>
      <c r="E12" s="57"/>
      <c r="F12" s="57"/>
      <c r="G12" s="57"/>
      <c r="H12" s="58"/>
      <c r="K12" s="56"/>
      <c r="L12" s="57"/>
      <c r="M12" s="57"/>
      <c r="N12" s="57"/>
      <c r="O12" s="57"/>
      <c r="P12" s="58"/>
      <c r="S12" s="50"/>
      <c r="T12" s="51"/>
      <c r="U12" s="51"/>
      <c r="V12" s="51"/>
      <c r="W12" s="51"/>
      <c r="X12" s="52"/>
    </row>
    <row r="13" spans="3:24">
      <c r="C13" s="56"/>
      <c r="D13" s="57"/>
      <c r="E13" s="57"/>
      <c r="F13" s="57"/>
      <c r="G13" s="57"/>
      <c r="H13" s="58"/>
      <c r="K13" s="56"/>
      <c r="L13" s="57"/>
      <c r="M13" s="57"/>
      <c r="N13" s="57"/>
      <c r="O13" s="57"/>
      <c r="P13" s="58"/>
      <c r="S13" s="50"/>
      <c r="T13" s="51"/>
      <c r="U13" s="51"/>
      <c r="V13" s="51"/>
      <c r="W13" s="51"/>
      <c r="X13" s="52"/>
    </row>
    <row r="14" spans="3:24">
      <c r="C14" s="56"/>
      <c r="D14" s="57"/>
      <c r="E14" s="57"/>
      <c r="F14" s="57"/>
      <c r="G14" s="57"/>
      <c r="H14" s="58"/>
      <c r="K14" s="56"/>
      <c r="L14" s="57"/>
      <c r="M14" s="57"/>
      <c r="N14" s="57"/>
      <c r="O14" s="57"/>
      <c r="P14" s="58"/>
      <c r="S14" s="50"/>
      <c r="T14" s="51"/>
      <c r="U14" s="51"/>
      <c r="V14" s="51"/>
      <c r="W14" s="51"/>
      <c r="X14" s="52"/>
    </row>
    <row r="15" spans="3:24">
      <c r="C15" s="56"/>
      <c r="D15" s="57"/>
      <c r="E15" s="57"/>
      <c r="F15" s="57"/>
      <c r="G15" s="57"/>
      <c r="H15" s="58"/>
      <c r="K15" s="56"/>
      <c r="L15" s="57"/>
      <c r="M15" s="57"/>
      <c r="N15" s="57"/>
      <c r="O15" s="57"/>
      <c r="P15" s="58"/>
      <c r="S15" s="50"/>
      <c r="T15" s="51"/>
      <c r="U15" s="51"/>
      <c r="V15" s="51"/>
      <c r="W15" s="51"/>
      <c r="X15" s="52"/>
    </row>
    <row r="16" spans="3:24">
      <c r="C16" s="56"/>
      <c r="D16" s="57"/>
      <c r="E16" s="57"/>
      <c r="F16" s="57"/>
      <c r="G16" s="57"/>
      <c r="H16" s="58"/>
      <c r="K16" s="56"/>
      <c r="L16" s="57"/>
      <c r="M16" s="57"/>
      <c r="N16" s="57"/>
      <c r="O16" s="57"/>
      <c r="P16" s="58"/>
      <c r="S16" s="50"/>
      <c r="T16" s="51"/>
      <c r="U16" s="51"/>
      <c r="V16" s="51"/>
      <c r="W16" s="51"/>
      <c r="X16" s="52"/>
    </row>
    <row r="17" spans="3:24">
      <c r="C17" s="56"/>
      <c r="D17" s="57"/>
      <c r="E17" s="57"/>
      <c r="F17" s="57"/>
      <c r="G17" s="57"/>
      <c r="H17" s="58"/>
      <c r="K17" s="56"/>
      <c r="L17" s="57"/>
      <c r="M17" s="57"/>
      <c r="N17" s="57"/>
      <c r="O17" s="57"/>
      <c r="P17" s="58"/>
      <c r="S17" s="50"/>
      <c r="T17" s="51"/>
      <c r="U17" s="51"/>
      <c r="V17" s="51"/>
      <c r="W17" s="51"/>
      <c r="X17" s="52"/>
    </row>
    <row r="18" spans="3:24">
      <c r="C18" s="56"/>
      <c r="D18" s="57"/>
      <c r="E18" s="57"/>
      <c r="F18" s="57"/>
      <c r="G18" s="57"/>
      <c r="H18" s="58"/>
      <c r="K18" s="56"/>
      <c r="L18" s="57"/>
      <c r="M18" s="57"/>
      <c r="N18" s="57"/>
      <c r="O18" s="57"/>
      <c r="P18" s="58"/>
      <c r="S18" s="50"/>
      <c r="T18" s="51"/>
      <c r="U18" s="51"/>
      <c r="V18" s="51"/>
      <c r="W18" s="51"/>
      <c r="X18" s="52"/>
    </row>
    <row r="19" spans="3:24">
      <c r="C19" s="59"/>
      <c r="D19" s="60"/>
      <c r="E19" s="60"/>
      <c r="F19" s="60"/>
      <c r="G19" s="60"/>
      <c r="H19" s="61"/>
      <c r="K19" s="59"/>
      <c r="L19" s="60"/>
      <c r="M19" s="60"/>
      <c r="N19" s="60"/>
      <c r="O19" s="60"/>
      <c r="P19" s="61"/>
      <c r="S19" s="53"/>
      <c r="T19" s="54"/>
      <c r="U19" s="54"/>
      <c r="V19" s="54"/>
      <c r="W19" s="54"/>
      <c r="X19" s="55"/>
    </row>
    <row r="23" spans="3:24">
      <c r="C23" s="44" t="s">
        <v>3</v>
      </c>
      <c r="D23" s="45"/>
      <c r="E23" s="45"/>
      <c r="F23" s="45"/>
      <c r="G23" s="45"/>
      <c r="H23" s="46"/>
      <c r="K23" s="44" t="s">
        <v>4</v>
      </c>
      <c r="L23" s="45"/>
      <c r="M23" s="45"/>
      <c r="N23" s="45"/>
      <c r="O23" s="45"/>
      <c r="P23" s="46"/>
      <c r="S23" s="44" t="s">
        <v>2</v>
      </c>
      <c r="T23" s="45"/>
      <c r="U23" s="45"/>
      <c r="V23" s="45"/>
      <c r="W23" s="45"/>
      <c r="X23" s="46"/>
    </row>
    <row r="24" spans="3:24">
      <c r="C24" s="47"/>
      <c r="D24" s="48"/>
      <c r="E24" s="48"/>
      <c r="F24" s="48"/>
      <c r="G24" s="48"/>
      <c r="H24" s="49"/>
      <c r="K24" s="47"/>
      <c r="L24" s="48"/>
      <c r="M24" s="48"/>
      <c r="N24" s="48"/>
      <c r="O24" s="48"/>
      <c r="P24" s="49"/>
      <c r="S24" s="47"/>
      <c r="T24" s="48"/>
      <c r="U24" s="48"/>
      <c r="V24" s="48"/>
      <c r="W24" s="48"/>
      <c r="X24" s="49"/>
    </row>
    <row r="25" spans="3:24">
      <c r="C25" s="56">
        <f>COUNTIF('Registración y Adquisición'!G:G, "Si")+COUNTIF(Perfil!G:G, "Si")+COUNTIF(Credenciales!G:G, "Si")+COUNTIF(Videollamadas!G:G, "Si")+COUNTIF(Reintegros!G:G, "Si")</f>
        <v>34</v>
      </c>
      <c r="D25" s="57"/>
      <c r="E25" s="57"/>
      <c r="F25" s="57"/>
      <c r="G25" s="57"/>
      <c r="H25" s="58"/>
      <c r="K25" s="56">
        <f>COUNTIFS('Registración y Adquisición'!G:G, "Si", 'Registración y Adquisición'!H:H, "Si") + COUNTIFS(Perfil!G:G, "Si", Perfil!H:H, "Si") + COUNTIFS(Credenciales!G:G, "Si", Credenciales!H:H, "Si") + COUNTIFS(Videollamadas!G:G, "Si", Videollamadas!H:H, "Si") + COUNTIFS(Reintegros!G:G, "Si", Reintegros!H:H, "Si") + COUNTIFS(Misceláneas!G:G, "Si", Misceláneas!H:H, "Si")</f>
        <v>19</v>
      </c>
      <c r="L25" s="57"/>
      <c r="M25" s="57"/>
      <c r="N25" s="57"/>
      <c r="O25" s="57"/>
      <c r="P25" s="58"/>
      <c r="S25" s="50">
        <f>K25/C25</f>
        <v>0.55882352941176472</v>
      </c>
      <c r="T25" s="51"/>
      <c r="U25" s="51"/>
      <c r="V25" s="51"/>
      <c r="W25" s="51"/>
      <c r="X25" s="52"/>
    </row>
    <row r="26" spans="3:24">
      <c r="C26" s="56"/>
      <c r="D26" s="57"/>
      <c r="E26" s="57"/>
      <c r="F26" s="57"/>
      <c r="G26" s="57"/>
      <c r="H26" s="58"/>
      <c r="K26" s="56"/>
      <c r="L26" s="57"/>
      <c r="M26" s="57"/>
      <c r="N26" s="57"/>
      <c r="O26" s="57"/>
      <c r="P26" s="58"/>
      <c r="S26" s="50"/>
      <c r="T26" s="51"/>
      <c r="U26" s="51"/>
      <c r="V26" s="51"/>
      <c r="W26" s="51"/>
      <c r="X26" s="52"/>
    </row>
    <row r="27" spans="3:24">
      <c r="C27" s="56"/>
      <c r="D27" s="57"/>
      <c r="E27" s="57"/>
      <c r="F27" s="57"/>
      <c r="G27" s="57"/>
      <c r="H27" s="58"/>
      <c r="K27" s="56"/>
      <c r="L27" s="57"/>
      <c r="M27" s="57"/>
      <c r="N27" s="57"/>
      <c r="O27" s="57"/>
      <c r="P27" s="58"/>
      <c r="S27" s="50"/>
      <c r="T27" s="51"/>
      <c r="U27" s="51"/>
      <c r="V27" s="51"/>
      <c r="W27" s="51"/>
      <c r="X27" s="52"/>
    </row>
    <row r="28" spans="3:24">
      <c r="C28" s="56"/>
      <c r="D28" s="57"/>
      <c r="E28" s="57"/>
      <c r="F28" s="57"/>
      <c r="G28" s="57"/>
      <c r="H28" s="58"/>
      <c r="K28" s="56"/>
      <c r="L28" s="57"/>
      <c r="M28" s="57"/>
      <c r="N28" s="57"/>
      <c r="O28" s="57"/>
      <c r="P28" s="58"/>
      <c r="S28" s="50"/>
      <c r="T28" s="51"/>
      <c r="U28" s="51"/>
      <c r="V28" s="51"/>
      <c r="W28" s="51"/>
      <c r="X28" s="52"/>
    </row>
    <row r="29" spans="3:24">
      <c r="C29" s="56"/>
      <c r="D29" s="57"/>
      <c r="E29" s="57"/>
      <c r="F29" s="57"/>
      <c r="G29" s="57"/>
      <c r="H29" s="58"/>
      <c r="K29" s="56"/>
      <c r="L29" s="57"/>
      <c r="M29" s="57"/>
      <c r="N29" s="57"/>
      <c r="O29" s="57"/>
      <c r="P29" s="58"/>
      <c r="S29" s="50"/>
      <c r="T29" s="51"/>
      <c r="U29" s="51"/>
      <c r="V29" s="51"/>
      <c r="W29" s="51"/>
      <c r="X29" s="52"/>
    </row>
    <row r="30" spans="3:24">
      <c r="C30" s="56"/>
      <c r="D30" s="57"/>
      <c r="E30" s="57"/>
      <c r="F30" s="57"/>
      <c r="G30" s="57"/>
      <c r="H30" s="58"/>
      <c r="K30" s="56"/>
      <c r="L30" s="57"/>
      <c r="M30" s="57"/>
      <c r="N30" s="57"/>
      <c r="O30" s="57"/>
      <c r="P30" s="58"/>
      <c r="S30" s="50"/>
      <c r="T30" s="51"/>
      <c r="U30" s="51"/>
      <c r="V30" s="51"/>
      <c r="W30" s="51"/>
      <c r="X30" s="52"/>
    </row>
    <row r="31" spans="3:24">
      <c r="C31" s="56"/>
      <c r="D31" s="57"/>
      <c r="E31" s="57"/>
      <c r="F31" s="57"/>
      <c r="G31" s="57"/>
      <c r="H31" s="58"/>
      <c r="K31" s="56"/>
      <c r="L31" s="57"/>
      <c r="M31" s="57"/>
      <c r="N31" s="57"/>
      <c r="O31" s="57"/>
      <c r="P31" s="58"/>
      <c r="S31" s="50"/>
      <c r="T31" s="51"/>
      <c r="U31" s="51"/>
      <c r="V31" s="51"/>
      <c r="W31" s="51"/>
      <c r="X31" s="52"/>
    </row>
    <row r="32" spans="3:24">
      <c r="C32" s="56"/>
      <c r="D32" s="57"/>
      <c r="E32" s="57"/>
      <c r="F32" s="57"/>
      <c r="G32" s="57"/>
      <c r="H32" s="58"/>
      <c r="K32" s="56"/>
      <c r="L32" s="57"/>
      <c r="M32" s="57"/>
      <c r="N32" s="57"/>
      <c r="O32" s="57"/>
      <c r="P32" s="58"/>
      <c r="S32" s="50"/>
      <c r="T32" s="51"/>
      <c r="U32" s="51"/>
      <c r="V32" s="51"/>
      <c r="W32" s="51"/>
      <c r="X32" s="52"/>
    </row>
    <row r="33" spans="3:24">
      <c r="C33" s="56"/>
      <c r="D33" s="57"/>
      <c r="E33" s="57"/>
      <c r="F33" s="57"/>
      <c r="G33" s="57"/>
      <c r="H33" s="58"/>
      <c r="K33" s="56"/>
      <c r="L33" s="57"/>
      <c r="M33" s="57"/>
      <c r="N33" s="57"/>
      <c r="O33" s="57"/>
      <c r="P33" s="58"/>
      <c r="S33" s="50"/>
      <c r="T33" s="51"/>
      <c r="U33" s="51"/>
      <c r="V33" s="51"/>
      <c r="W33" s="51"/>
      <c r="X33" s="52"/>
    </row>
    <row r="34" spans="3:24">
      <c r="C34" s="56"/>
      <c r="D34" s="57"/>
      <c r="E34" s="57"/>
      <c r="F34" s="57"/>
      <c r="G34" s="57"/>
      <c r="H34" s="58"/>
      <c r="K34" s="56"/>
      <c r="L34" s="57"/>
      <c r="M34" s="57"/>
      <c r="N34" s="57"/>
      <c r="O34" s="57"/>
      <c r="P34" s="58"/>
      <c r="S34" s="50"/>
      <c r="T34" s="51"/>
      <c r="U34" s="51"/>
      <c r="V34" s="51"/>
      <c r="W34" s="51"/>
      <c r="X34" s="52"/>
    </row>
    <row r="35" spans="3:24">
      <c r="C35" s="56"/>
      <c r="D35" s="57"/>
      <c r="E35" s="57"/>
      <c r="F35" s="57"/>
      <c r="G35" s="57"/>
      <c r="H35" s="58"/>
      <c r="K35" s="56"/>
      <c r="L35" s="57"/>
      <c r="M35" s="57"/>
      <c r="N35" s="57"/>
      <c r="O35" s="57"/>
      <c r="P35" s="58"/>
      <c r="S35" s="50"/>
      <c r="T35" s="51"/>
      <c r="U35" s="51"/>
      <c r="V35" s="51"/>
      <c r="W35" s="51"/>
      <c r="X35" s="52"/>
    </row>
    <row r="36" spans="3:24">
      <c r="C36" s="56"/>
      <c r="D36" s="57"/>
      <c r="E36" s="57"/>
      <c r="F36" s="57"/>
      <c r="G36" s="57"/>
      <c r="H36" s="58"/>
      <c r="K36" s="56"/>
      <c r="L36" s="57"/>
      <c r="M36" s="57"/>
      <c r="N36" s="57"/>
      <c r="O36" s="57"/>
      <c r="P36" s="58"/>
      <c r="S36" s="50"/>
      <c r="T36" s="51"/>
      <c r="U36" s="51"/>
      <c r="V36" s="51"/>
      <c r="W36" s="51"/>
      <c r="X36" s="52"/>
    </row>
    <row r="37" spans="3:24">
      <c r="C37" s="56"/>
      <c r="D37" s="57"/>
      <c r="E37" s="57"/>
      <c r="F37" s="57"/>
      <c r="G37" s="57"/>
      <c r="H37" s="58"/>
      <c r="K37" s="56"/>
      <c r="L37" s="57"/>
      <c r="M37" s="57"/>
      <c r="N37" s="57"/>
      <c r="O37" s="57"/>
      <c r="P37" s="58"/>
      <c r="S37" s="50"/>
      <c r="T37" s="51"/>
      <c r="U37" s="51"/>
      <c r="V37" s="51"/>
      <c r="W37" s="51"/>
      <c r="X37" s="52"/>
    </row>
    <row r="38" spans="3:24">
      <c r="C38" s="56"/>
      <c r="D38" s="57"/>
      <c r="E38" s="57"/>
      <c r="F38" s="57"/>
      <c r="G38" s="57"/>
      <c r="H38" s="58"/>
      <c r="K38" s="56"/>
      <c r="L38" s="57"/>
      <c r="M38" s="57"/>
      <c r="N38" s="57"/>
      <c r="O38" s="57"/>
      <c r="P38" s="58"/>
      <c r="S38" s="50"/>
      <c r="T38" s="51"/>
      <c r="U38" s="51"/>
      <c r="V38" s="51"/>
      <c r="W38" s="51"/>
      <c r="X38" s="52"/>
    </row>
    <row r="39" spans="3:24">
      <c r="C39" s="59"/>
      <c r="D39" s="60"/>
      <c r="E39" s="60"/>
      <c r="F39" s="60"/>
      <c r="G39" s="60"/>
      <c r="H39" s="61"/>
      <c r="K39" s="59"/>
      <c r="L39" s="60"/>
      <c r="M39" s="60"/>
      <c r="N39" s="60"/>
      <c r="O39" s="60"/>
      <c r="P39" s="61"/>
      <c r="S39" s="53"/>
      <c r="T39" s="54"/>
      <c r="U39" s="54"/>
      <c r="V39" s="54"/>
      <c r="W39" s="54"/>
      <c r="X39" s="55"/>
    </row>
    <row r="43" spans="3:24">
      <c r="C43" s="16"/>
      <c r="D43" s="16"/>
      <c r="E43" s="16"/>
      <c r="F43" s="16"/>
      <c r="G43" s="16"/>
      <c r="H43" s="16"/>
    </row>
    <row r="44" spans="3:24" ht="21">
      <c r="C44" s="16"/>
      <c r="D44" s="43" t="s">
        <v>5</v>
      </c>
      <c r="E44" s="43"/>
      <c r="F44" s="43"/>
      <c r="G44" s="43"/>
      <c r="H44" s="19"/>
    </row>
    <row r="45" spans="3:24">
      <c r="C45" s="16"/>
      <c r="D45" s="21"/>
      <c r="E45" s="21"/>
      <c r="F45" s="21"/>
      <c r="G45" s="21"/>
      <c r="H45" s="19"/>
    </row>
    <row r="46" spans="3:24">
      <c r="C46" s="16"/>
      <c r="D46" s="17"/>
      <c r="E46" s="16" t="s">
        <v>6</v>
      </c>
      <c r="F46" s="16"/>
      <c r="G46" s="16"/>
      <c r="H46" s="16"/>
    </row>
    <row r="47" spans="3:24">
      <c r="C47" s="16"/>
      <c r="D47" s="35"/>
      <c r="E47" s="16" t="s">
        <v>7</v>
      </c>
      <c r="F47" s="16"/>
      <c r="G47" s="16"/>
      <c r="H47" s="16"/>
    </row>
    <row r="48" spans="3:24">
      <c r="C48" s="16"/>
      <c r="D48" s="32"/>
      <c r="E48" s="16" t="s">
        <v>8</v>
      </c>
      <c r="F48" s="16"/>
      <c r="G48" s="16"/>
      <c r="H48" s="16"/>
    </row>
    <row r="49" spans="3:8">
      <c r="C49" s="16"/>
      <c r="D49" s="22"/>
      <c r="E49" s="16" t="s">
        <v>9</v>
      </c>
      <c r="F49" s="16"/>
      <c r="G49" s="16"/>
      <c r="H49" s="16"/>
    </row>
    <row r="50" spans="3:8">
      <c r="C50" s="16"/>
      <c r="D50" s="18"/>
      <c r="E50" s="16" t="s">
        <v>10</v>
      </c>
      <c r="F50" s="16"/>
      <c r="G50" s="16"/>
      <c r="H50" s="16"/>
    </row>
    <row r="51" spans="3:8">
      <c r="C51" s="16"/>
      <c r="D51" s="16"/>
      <c r="E51" s="16"/>
      <c r="F51" s="16"/>
      <c r="G51" s="16"/>
      <c r="H51" s="16"/>
    </row>
  </sheetData>
  <mergeCells count="13">
    <mergeCell ref="D44:G44"/>
    <mergeCell ref="S3:X4"/>
    <mergeCell ref="S5:X19"/>
    <mergeCell ref="C3:H4"/>
    <mergeCell ref="K3:P4"/>
    <mergeCell ref="C5:H19"/>
    <mergeCell ref="K5:P19"/>
    <mergeCell ref="C23:H24"/>
    <mergeCell ref="C25:H39"/>
    <mergeCell ref="K23:P24"/>
    <mergeCell ref="K25:P39"/>
    <mergeCell ref="S23:X24"/>
    <mergeCell ref="S25:X3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0000"/>
  </sheetPr>
  <dimension ref="A1:H44"/>
  <sheetViews>
    <sheetView workbookViewId="0">
      <pane ySplit="1" topLeftCell="B2" activePane="bottomLeft" state="frozen"/>
      <selection pane="bottomLeft" activeCell="G6" sqref="G6:H8"/>
    </sheetView>
  </sheetViews>
  <sheetFormatPr defaultRowHeight="15"/>
  <cols>
    <col min="1" max="1" width="9.140625" style="1"/>
    <col min="2" max="2" width="22.28515625" style="1" customWidth="1"/>
    <col min="3" max="3" width="73.42578125" style="1" customWidth="1"/>
    <col min="4" max="4" width="31.5703125" style="1" customWidth="1"/>
    <col min="5" max="5" width="50.85546875" style="1" customWidth="1"/>
    <col min="6" max="6" width="36.28515625" style="1" customWidth="1"/>
    <col min="7" max="7" width="15.85546875" style="1" customWidth="1"/>
    <col min="8" max="8" width="14.5703125" style="8" bestFit="1" customWidth="1"/>
    <col min="9" max="16384" width="9.140625" style="1"/>
  </cols>
  <sheetData>
    <row r="1" spans="1:8">
      <c r="A1" s="2" t="s">
        <v>11</v>
      </c>
      <c r="B1" s="2" t="s">
        <v>12</v>
      </c>
      <c r="C1" s="2" t="s">
        <v>13</v>
      </c>
      <c r="D1" s="2" t="s">
        <v>14</v>
      </c>
      <c r="E1" s="2" t="s">
        <v>15</v>
      </c>
      <c r="F1" s="2" t="s">
        <v>16</v>
      </c>
      <c r="G1" s="7" t="s">
        <v>17</v>
      </c>
      <c r="H1" s="7" t="s">
        <v>18</v>
      </c>
    </row>
    <row r="2" spans="1:8" ht="15" customHeight="1">
      <c r="A2" s="14" t="s">
        <v>19</v>
      </c>
      <c r="B2" s="14"/>
      <c r="C2" s="14"/>
      <c r="D2" s="14"/>
      <c r="E2" s="14"/>
      <c r="F2" s="14"/>
      <c r="G2" s="14"/>
      <c r="H2" s="14"/>
    </row>
    <row r="3" spans="1:8" ht="167.25">
      <c r="A3" s="3" t="s">
        <v>20</v>
      </c>
      <c r="B3" s="27" t="s">
        <v>21</v>
      </c>
      <c r="C3" s="1" t="s">
        <v>22</v>
      </c>
      <c r="E3" s="1" t="s">
        <v>23</v>
      </c>
      <c r="F3" s="1" t="s">
        <v>24</v>
      </c>
      <c r="G3" s="8" t="s">
        <v>25</v>
      </c>
      <c r="H3" s="8" t="s">
        <v>25</v>
      </c>
    </row>
    <row r="4" spans="1:8" ht="167.25">
      <c r="A4" s="3" t="s">
        <v>26</v>
      </c>
      <c r="B4" s="27"/>
      <c r="C4" s="1" t="s">
        <v>27</v>
      </c>
      <c r="E4" s="1" t="s">
        <v>28</v>
      </c>
      <c r="F4" s="1" t="s">
        <v>29</v>
      </c>
      <c r="G4" s="8" t="s">
        <v>25</v>
      </c>
      <c r="H4" s="8" t="s">
        <v>30</v>
      </c>
    </row>
    <row r="5" spans="1:8" ht="152.25">
      <c r="A5" s="3" t="s">
        <v>31</v>
      </c>
      <c r="B5" s="27"/>
      <c r="C5" s="1" t="s">
        <v>32</v>
      </c>
      <c r="E5" s="1" t="s">
        <v>33</v>
      </c>
      <c r="F5" s="1" t="s">
        <v>34</v>
      </c>
      <c r="G5" s="8" t="s">
        <v>25</v>
      </c>
      <c r="H5" s="8" t="s">
        <v>25</v>
      </c>
    </row>
    <row r="6" spans="1:8" ht="162.75" customHeight="1">
      <c r="A6" s="3" t="s">
        <v>35</v>
      </c>
      <c r="B6" s="27"/>
      <c r="C6" s="1" t="s">
        <v>36</v>
      </c>
      <c r="D6" s="1" t="s">
        <v>37</v>
      </c>
      <c r="E6" s="1" t="s">
        <v>38</v>
      </c>
      <c r="F6" s="1" t="s">
        <v>39</v>
      </c>
      <c r="G6" s="8" t="s">
        <v>30</v>
      </c>
      <c r="H6" s="8" t="s">
        <v>30</v>
      </c>
    </row>
    <row r="7" spans="1:8" ht="159" customHeight="1">
      <c r="A7" s="3" t="s">
        <v>40</v>
      </c>
      <c r="B7" s="27"/>
      <c r="C7" s="1" t="s">
        <v>41</v>
      </c>
      <c r="D7" s="1" t="s">
        <v>37</v>
      </c>
      <c r="E7" s="1" t="s">
        <v>42</v>
      </c>
      <c r="F7" s="1" t="s">
        <v>43</v>
      </c>
      <c r="G7" s="8" t="s">
        <v>30</v>
      </c>
      <c r="H7" s="8" t="s">
        <v>30</v>
      </c>
    </row>
    <row r="8" spans="1:8" ht="180.75" customHeight="1">
      <c r="A8" s="3" t="s">
        <v>44</v>
      </c>
      <c r="B8" s="27"/>
      <c r="C8" s="1" t="s">
        <v>45</v>
      </c>
      <c r="D8" s="1" t="s">
        <v>46</v>
      </c>
      <c r="E8" s="1" t="s">
        <v>47</v>
      </c>
      <c r="F8" s="1" t="s">
        <v>48</v>
      </c>
      <c r="G8" s="8" t="s">
        <v>30</v>
      </c>
      <c r="H8" s="8" t="s">
        <v>30</v>
      </c>
    </row>
    <row r="9" spans="1:8">
      <c r="A9" s="4"/>
      <c r="B9" s="4"/>
      <c r="C9" s="4"/>
      <c r="D9" s="4"/>
      <c r="E9" s="4"/>
      <c r="F9" s="4"/>
      <c r="G9" s="9"/>
      <c r="H9" s="9"/>
    </row>
    <row r="10" spans="1:8" ht="137.25">
      <c r="A10" s="5" t="s">
        <v>49</v>
      </c>
      <c r="B10" s="29" t="s">
        <v>50</v>
      </c>
      <c r="C10" s="1" t="s">
        <v>51</v>
      </c>
      <c r="E10" s="1" t="s">
        <v>52</v>
      </c>
      <c r="F10" s="1" t="s">
        <v>53</v>
      </c>
      <c r="G10" s="8" t="s">
        <v>25</v>
      </c>
      <c r="H10" s="8" t="s">
        <v>25</v>
      </c>
    </row>
    <row r="11" spans="1:8" ht="173.25" customHeight="1">
      <c r="A11" s="5" t="s">
        <v>54</v>
      </c>
      <c r="B11" s="29"/>
      <c r="C11" s="6" t="s">
        <v>55</v>
      </c>
      <c r="D11" s="1" t="s">
        <v>56</v>
      </c>
      <c r="E11" s="1" t="s">
        <v>57</v>
      </c>
      <c r="F11" s="1" t="s">
        <v>58</v>
      </c>
      <c r="G11" s="8" t="s">
        <v>30</v>
      </c>
      <c r="H11" s="8" t="s">
        <v>30</v>
      </c>
    </row>
    <row r="12" spans="1:8" ht="152.25">
      <c r="A12" s="5" t="s">
        <v>59</v>
      </c>
      <c r="B12" s="29"/>
      <c r="C12" s="6" t="s">
        <v>60</v>
      </c>
      <c r="D12" s="1" t="s">
        <v>61</v>
      </c>
      <c r="E12" s="1" t="s">
        <v>62</v>
      </c>
      <c r="F12" s="1" t="s">
        <v>63</v>
      </c>
      <c r="G12" s="8" t="s">
        <v>25</v>
      </c>
      <c r="H12" s="8" t="s">
        <v>25</v>
      </c>
    </row>
    <row r="13" spans="1:8" ht="76.5">
      <c r="A13" s="5" t="s">
        <v>64</v>
      </c>
      <c r="B13" s="29"/>
      <c r="C13" s="1" t="s">
        <v>65</v>
      </c>
      <c r="D13" s="1" t="s">
        <v>66</v>
      </c>
      <c r="E13" s="1" t="s">
        <v>67</v>
      </c>
      <c r="F13" s="1" t="s">
        <v>68</v>
      </c>
      <c r="G13" s="8" t="s">
        <v>25</v>
      </c>
      <c r="H13" s="8" t="s">
        <v>25</v>
      </c>
    </row>
    <row r="14" spans="1:8">
      <c r="A14" s="4"/>
      <c r="B14" s="4"/>
      <c r="C14" s="4"/>
      <c r="D14" s="4"/>
      <c r="E14" s="4"/>
      <c r="F14" s="4"/>
      <c r="G14" s="9"/>
      <c r="H14" s="9"/>
    </row>
    <row r="15" spans="1:8">
      <c r="A15" s="3" t="s">
        <v>69</v>
      </c>
      <c r="B15" s="27" t="s">
        <v>70</v>
      </c>
      <c r="C15" s="1" t="s">
        <v>71</v>
      </c>
      <c r="G15" s="8"/>
    </row>
    <row r="16" spans="1:8">
      <c r="A16" s="3" t="s">
        <v>72</v>
      </c>
      <c r="B16" s="27"/>
      <c r="C16" s="1" t="s">
        <v>73</v>
      </c>
      <c r="G16" s="8"/>
    </row>
    <row r="17" spans="1:8">
      <c r="A17" s="3" t="s">
        <v>74</v>
      </c>
      <c r="B17" s="27"/>
      <c r="C17" s="1" t="s">
        <v>75</v>
      </c>
      <c r="G17" s="8"/>
    </row>
    <row r="18" spans="1:8">
      <c r="A18" s="3" t="s">
        <v>76</v>
      </c>
      <c r="B18" s="27"/>
      <c r="C18" s="1" t="s">
        <v>77</v>
      </c>
      <c r="G18" s="8"/>
    </row>
    <row r="19" spans="1:8">
      <c r="A19" s="3" t="s">
        <v>78</v>
      </c>
      <c r="B19" s="27"/>
      <c r="C19" s="1" t="s">
        <v>79</v>
      </c>
      <c r="G19" s="8"/>
    </row>
    <row r="20" spans="1:8">
      <c r="A20" s="4"/>
      <c r="B20" s="4"/>
      <c r="C20" s="4"/>
      <c r="D20" s="4"/>
      <c r="E20" s="4"/>
      <c r="F20" s="4"/>
      <c r="G20" s="9"/>
      <c r="H20" s="9"/>
    </row>
    <row r="21" spans="1:8">
      <c r="A21" s="5" t="s">
        <v>80</v>
      </c>
      <c r="B21" s="29" t="s">
        <v>81</v>
      </c>
      <c r="C21" s="1" t="s">
        <v>82</v>
      </c>
      <c r="G21" s="8"/>
    </row>
    <row r="22" spans="1:8">
      <c r="A22" s="5" t="s">
        <v>83</v>
      </c>
      <c r="B22" s="29"/>
      <c r="C22" s="1" t="s">
        <v>84</v>
      </c>
      <c r="G22" s="8"/>
    </row>
    <row r="23" spans="1:8">
      <c r="A23" s="5" t="s">
        <v>85</v>
      </c>
      <c r="B23" s="29"/>
      <c r="C23" s="1" t="s">
        <v>86</v>
      </c>
      <c r="G23" s="8"/>
    </row>
    <row r="24" spans="1:8">
      <c r="A24" s="5" t="s">
        <v>87</v>
      </c>
      <c r="B24" s="29"/>
      <c r="C24" s="1" t="s">
        <v>88</v>
      </c>
      <c r="G24" s="8"/>
    </row>
    <row r="25" spans="1:8">
      <c r="A25" s="4"/>
      <c r="B25" s="4"/>
      <c r="C25" s="4"/>
      <c r="D25" s="4"/>
      <c r="E25" s="4"/>
      <c r="F25" s="4"/>
      <c r="G25" s="9"/>
      <c r="H25" s="9"/>
    </row>
    <row r="26" spans="1:8">
      <c r="A26" s="3" t="s">
        <v>89</v>
      </c>
      <c r="B26" s="27" t="s">
        <v>90</v>
      </c>
      <c r="C26" s="1" t="s">
        <v>91</v>
      </c>
      <c r="G26" s="8"/>
    </row>
    <row r="27" spans="1:8">
      <c r="A27" s="3" t="s">
        <v>92</v>
      </c>
      <c r="B27" s="27"/>
      <c r="C27" s="1" t="s">
        <v>93</v>
      </c>
      <c r="G27" s="8"/>
    </row>
    <row r="28" spans="1:8">
      <c r="A28" s="3" t="s">
        <v>94</v>
      </c>
      <c r="B28" s="27"/>
      <c r="C28" s="1" t="s">
        <v>95</v>
      </c>
      <c r="G28" s="8"/>
    </row>
    <row r="29" spans="1:8">
      <c r="A29" s="3" t="s">
        <v>96</v>
      </c>
      <c r="B29" s="27"/>
      <c r="C29" s="1" t="s">
        <v>97</v>
      </c>
      <c r="G29" s="8"/>
    </row>
    <row r="30" spans="1:8">
      <c r="A30" s="3" t="s">
        <v>98</v>
      </c>
      <c r="B30" s="27"/>
      <c r="C30" s="1" t="s">
        <v>99</v>
      </c>
      <c r="G30" s="8"/>
    </row>
    <row r="31" spans="1:8">
      <c r="A31" s="3" t="s">
        <v>100</v>
      </c>
      <c r="B31" s="27"/>
      <c r="C31" s="1" t="s">
        <v>101</v>
      </c>
      <c r="G31" s="8"/>
    </row>
    <row r="32" spans="1:8">
      <c r="A32" s="3" t="s">
        <v>102</v>
      </c>
      <c r="B32" s="27"/>
      <c r="C32" s="1" t="s">
        <v>103</v>
      </c>
      <c r="G32" s="8"/>
    </row>
    <row r="33" spans="1:8">
      <c r="A33" s="3" t="s">
        <v>104</v>
      </c>
      <c r="B33" s="27"/>
      <c r="C33" s="1" t="s">
        <v>105</v>
      </c>
      <c r="G33" s="8"/>
    </row>
    <row r="34" spans="1:8">
      <c r="A34" s="3" t="s">
        <v>106</v>
      </c>
      <c r="B34" s="27"/>
      <c r="C34" s="1" t="s">
        <v>107</v>
      </c>
      <c r="G34" s="8"/>
    </row>
    <row r="35" spans="1:8">
      <c r="A35" s="3" t="s">
        <v>108</v>
      </c>
      <c r="B35" s="27"/>
      <c r="C35" s="1" t="s">
        <v>109</v>
      </c>
      <c r="G35" s="8"/>
    </row>
    <row r="36" spans="1:8">
      <c r="A36" s="4"/>
      <c r="B36" s="4"/>
      <c r="C36" s="4"/>
      <c r="D36" s="4"/>
      <c r="E36" s="4"/>
      <c r="F36" s="4"/>
      <c r="G36" s="9"/>
      <c r="H36" s="9"/>
    </row>
    <row r="37" spans="1:8">
      <c r="B37" s="1" t="s">
        <v>110</v>
      </c>
      <c r="C37" s="1" t="s">
        <v>111</v>
      </c>
      <c r="G37" s="8"/>
    </row>
    <row r="38" spans="1:8">
      <c r="C38" s="1" t="s">
        <v>112</v>
      </c>
      <c r="G38" s="8"/>
    </row>
    <row r="39" spans="1:8">
      <c r="G39" s="8"/>
    </row>
    <row r="40" spans="1:8">
      <c r="G40" s="8"/>
    </row>
    <row r="41" spans="1:8">
      <c r="G41" s="8"/>
    </row>
    <row r="42" spans="1:8" ht="15" customHeight="1">
      <c r="A42" s="14" t="s">
        <v>113</v>
      </c>
      <c r="B42" s="14"/>
      <c r="C42" s="14"/>
      <c r="D42" s="14"/>
      <c r="E42" s="14"/>
      <c r="F42" s="14"/>
      <c r="G42" s="14"/>
      <c r="H42" s="14"/>
    </row>
    <row r="43" spans="1:8">
      <c r="G43" s="8"/>
    </row>
    <row r="44" spans="1:8">
      <c r="C44" s="1" t="s">
        <v>114</v>
      </c>
      <c r="G44" s="8"/>
    </row>
  </sheetData>
  <conditionalFormatting sqref="H1:H5 H9:H1048576">
    <cfRule type="cellIs" dxfId="29" priority="4" operator="equal">
      <formula>"Si"</formula>
    </cfRule>
  </conditionalFormatting>
  <conditionalFormatting sqref="H1:H5 H9:H1048576">
    <cfRule type="cellIs" dxfId="28" priority="3" operator="equal">
      <formula>"No"</formula>
    </cfRule>
  </conditionalFormatting>
  <conditionalFormatting sqref="G1:G6 H6 G9:G44 G7:H8">
    <cfRule type="cellIs" dxfId="27" priority="2" operator="equal">
      <formula>"Si"</formula>
    </cfRule>
  </conditionalFormatting>
  <conditionalFormatting sqref="G1:G6 H6 G9:G44 G7:H8">
    <cfRule type="cellIs" dxfId="26" priority="1" operator="equal">
      <formula>"No"</formula>
    </cfRule>
  </conditionalFormatting>
  <dataValidations count="1">
    <dataValidation type="list" allowBlank="1" showInputMessage="1" showErrorMessage="1" sqref="G26:H35 G21:H24 G15:H19 G10:H13 G3:H8" xr:uid="{4A43012D-2E56-447B-8CAE-8B8B4BD9276C}">
      <formula1>"Si,No"</formula1>
    </dataValidation>
  </dataValidation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34963-4A5A-49FE-A96A-E944FC66A03F}">
  <sheetPr>
    <tabColor rgb="FFFF0000"/>
  </sheetPr>
  <dimension ref="A1:H13"/>
  <sheetViews>
    <sheetView workbookViewId="0">
      <pane ySplit="1" topLeftCell="A2" activePane="bottomLeft" state="frozen"/>
      <selection pane="bottomLeft" activeCell="G3" sqref="G3"/>
    </sheetView>
  </sheetViews>
  <sheetFormatPr defaultRowHeight="15"/>
  <cols>
    <col min="1" max="1" width="9.140625" style="11"/>
    <col min="2" max="2" width="30.7109375" style="8" customWidth="1"/>
    <col min="3" max="3" width="48" style="11" customWidth="1"/>
    <col min="4" max="4" width="32.42578125" style="1" customWidth="1"/>
    <col min="5" max="5" width="45.7109375" style="11" customWidth="1"/>
    <col min="6" max="6" width="23.85546875" style="11" customWidth="1"/>
    <col min="7" max="7" width="18.28515625" style="11" customWidth="1"/>
    <col min="8" max="8" width="20" style="8" customWidth="1"/>
    <col min="9" max="9" width="22.5703125" style="11" customWidth="1"/>
    <col min="10" max="16384" width="9.140625" style="11"/>
  </cols>
  <sheetData>
    <row r="1" spans="1:8" ht="17.25" customHeight="1">
      <c r="A1" s="7" t="s">
        <v>11</v>
      </c>
      <c r="B1" s="7" t="s">
        <v>12</v>
      </c>
      <c r="C1" s="7" t="s">
        <v>13</v>
      </c>
      <c r="D1" s="7" t="s">
        <v>14</v>
      </c>
      <c r="E1" s="7" t="s">
        <v>15</v>
      </c>
      <c r="F1" s="7" t="s">
        <v>16</v>
      </c>
      <c r="G1" s="7" t="s">
        <v>115</v>
      </c>
      <c r="H1" s="7" t="s">
        <v>18</v>
      </c>
    </row>
    <row r="2" spans="1:8" ht="14.25" customHeight="1">
      <c r="A2" s="63" t="s">
        <v>19</v>
      </c>
      <c r="B2" s="63"/>
      <c r="C2" s="63"/>
      <c r="D2" s="63"/>
      <c r="E2" s="63"/>
      <c r="F2" s="63"/>
      <c r="G2" s="63"/>
      <c r="H2" s="14"/>
    </row>
    <row r="3" spans="1:8" ht="198">
      <c r="B3" s="41" t="s">
        <v>116</v>
      </c>
      <c r="C3" s="11" t="s">
        <v>117</v>
      </c>
      <c r="D3" s="1" t="s">
        <v>118</v>
      </c>
      <c r="E3" s="11" t="s">
        <v>119</v>
      </c>
      <c r="F3" s="11" t="s">
        <v>120</v>
      </c>
      <c r="G3" s="8"/>
    </row>
    <row r="4" spans="1:8" ht="76.5" customHeight="1">
      <c r="A4" s="41"/>
      <c r="B4" s="41"/>
      <c r="C4" s="42" t="s">
        <v>121</v>
      </c>
      <c r="D4" s="62" t="s">
        <v>118</v>
      </c>
      <c r="E4" s="1" t="s">
        <v>122</v>
      </c>
      <c r="F4" s="11" t="s">
        <v>123</v>
      </c>
      <c r="G4" s="8"/>
    </row>
    <row r="5" spans="1:8" ht="45.75">
      <c r="A5" s="41"/>
      <c r="B5" s="41"/>
      <c r="C5" s="42"/>
      <c r="D5" s="62"/>
      <c r="E5" s="1" t="s">
        <v>124</v>
      </c>
      <c r="F5" s="11" t="s">
        <v>125</v>
      </c>
      <c r="G5" s="8"/>
    </row>
    <row r="6" spans="1:8" ht="121.5">
      <c r="B6" s="41"/>
      <c r="C6" s="42" t="s">
        <v>126</v>
      </c>
      <c r="D6" s="62" t="s">
        <v>118</v>
      </c>
      <c r="E6" s="11" t="s">
        <v>119</v>
      </c>
      <c r="F6" s="11" t="s">
        <v>127</v>
      </c>
      <c r="G6" s="8"/>
    </row>
    <row r="7" spans="1:8" ht="45.75">
      <c r="B7" s="41"/>
      <c r="C7" s="42"/>
      <c r="D7" s="62"/>
      <c r="E7" s="11" t="s">
        <v>128</v>
      </c>
      <c r="F7" s="11" t="s">
        <v>129</v>
      </c>
      <c r="G7" s="8"/>
    </row>
    <row r="8" spans="1:8" ht="30.75">
      <c r="B8" s="41"/>
      <c r="C8" s="11" t="s">
        <v>130</v>
      </c>
      <c r="D8" s="1" t="s">
        <v>118</v>
      </c>
      <c r="E8" s="12" t="s">
        <v>131</v>
      </c>
      <c r="F8" s="12" t="s">
        <v>131</v>
      </c>
      <c r="G8" s="8"/>
    </row>
    <row r="9" spans="1:8" ht="30.75">
      <c r="B9" s="41"/>
      <c r="C9" s="11" t="s">
        <v>132</v>
      </c>
      <c r="D9" s="1" t="s">
        <v>118</v>
      </c>
      <c r="E9" s="12" t="s">
        <v>131</v>
      </c>
      <c r="F9" s="12" t="s">
        <v>131</v>
      </c>
      <c r="G9" s="8"/>
    </row>
    <row r="10" spans="1:8" ht="91.5">
      <c r="B10" s="41"/>
      <c r="C10" s="11" t="s">
        <v>133</v>
      </c>
      <c r="D10" s="1" t="s">
        <v>118</v>
      </c>
      <c r="E10" s="11" t="s">
        <v>134</v>
      </c>
      <c r="F10" s="11" t="s">
        <v>135</v>
      </c>
      <c r="G10" s="8"/>
    </row>
    <row r="11" spans="1:8" ht="140.25" customHeight="1">
      <c r="B11" s="41"/>
      <c r="C11" s="11" t="s">
        <v>136</v>
      </c>
      <c r="D11" s="1" t="s">
        <v>118</v>
      </c>
      <c r="E11" s="11" t="s">
        <v>137</v>
      </c>
      <c r="F11" s="11" t="s">
        <v>138</v>
      </c>
      <c r="G11" s="8"/>
    </row>
    <row r="12" spans="1:8">
      <c r="A12" s="4"/>
      <c r="B12" s="4"/>
      <c r="C12" s="4"/>
      <c r="D12" s="4"/>
      <c r="E12" s="4"/>
      <c r="F12" s="4"/>
      <c r="G12" s="9"/>
      <c r="H12" s="9"/>
    </row>
    <row r="13" spans="1:8">
      <c r="A13" s="63" t="s">
        <v>113</v>
      </c>
      <c r="B13" s="63"/>
      <c r="C13" s="63"/>
      <c r="D13" s="63"/>
      <c r="E13" s="63"/>
      <c r="F13" s="63"/>
      <c r="G13" s="63"/>
      <c r="H13" s="14"/>
    </row>
  </sheetData>
  <mergeCells count="8">
    <mergeCell ref="D6:D7"/>
    <mergeCell ref="C6:C7"/>
    <mergeCell ref="B3:B11"/>
    <mergeCell ref="A2:G2"/>
    <mergeCell ref="A13:G13"/>
    <mergeCell ref="A4:A5"/>
    <mergeCell ref="C4:C5"/>
    <mergeCell ref="D4:D5"/>
  </mergeCells>
  <conditionalFormatting sqref="G1:G12">
    <cfRule type="cellIs" dxfId="25" priority="14" operator="equal">
      <formula>"Si"</formula>
    </cfRule>
  </conditionalFormatting>
  <conditionalFormatting sqref="G1:G12">
    <cfRule type="cellIs" dxfId="24" priority="13" operator="equal">
      <formula>"No"</formula>
    </cfRule>
  </conditionalFormatting>
  <conditionalFormatting sqref="G13:H13">
    <cfRule type="cellIs" dxfId="23" priority="12" operator="equal">
      <formula>"Si"</formula>
    </cfRule>
  </conditionalFormatting>
  <conditionalFormatting sqref="G13:H13">
    <cfRule type="cellIs" dxfId="22" priority="11" operator="equal">
      <formula>"No"</formula>
    </cfRule>
  </conditionalFormatting>
  <conditionalFormatting sqref="G12:H12">
    <cfRule type="cellIs" dxfId="21" priority="4" operator="equal">
      <formula>"Si"</formula>
    </cfRule>
  </conditionalFormatting>
  <conditionalFormatting sqref="G12:H12">
    <cfRule type="cellIs" dxfId="20" priority="3" operator="equal">
      <formula>"No"</formula>
    </cfRule>
  </conditionalFormatting>
  <conditionalFormatting sqref="H1:H12">
    <cfRule type="cellIs" dxfId="19" priority="2" operator="equal">
      <formula>"Si"</formula>
    </cfRule>
  </conditionalFormatting>
  <conditionalFormatting sqref="H1:H12">
    <cfRule type="cellIs" dxfId="18" priority="1" operator="equal">
      <formula>"No"</formula>
    </cfRule>
  </conditionalFormatting>
  <dataValidations count="1">
    <dataValidation type="list" allowBlank="1" showInputMessage="1" showErrorMessage="1" sqref="G3:H12" xr:uid="{BADDBDAE-D148-481E-B41A-AB5998CAA14D}">
      <formula1>"Si,No"</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2BA53D-2B7E-4E20-A76F-0C8D87BB9271}">
  <sheetPr>
    <tabColor rgb="FFFFC000"/>
  </sheetPr>
  <dimension ref="A1:H36"/>
  <sheetViews>
    <sheetView tabSelected="1" workbookViewId="0">
      <pane ySplit="1" topLeftCell="A32" activePane="bottomLeft" state="frozen"/>
      <selection pane="bottomLeft" activeCell="D42" sqref="D42"/>
    </sheetView>
  </sheetViews>
  <sheetFormatPr defaultRowHeight="15"/>
  <cols>
    <col min="1" max="1" width="9.140625" style="8"/>
    <col min="2" max="2" width="30.7109375" style="8" customWidth="1"/>
    <col min="3" max="3" width="63.42578125" style="1" customWidth="1"/>
    <col min="4" max="4" width="32.42578125" style="11" customWidth="1"/>
    <col min="5" max="5" width="45.7109375" style="11" customWidth="1"/>
    <col min="6" max="6" width="32.42578125" style="11" customWidth="1"/>
    <col min="7" max="7" width="19.5703125" style="8" customWidth="1"/>
    <col min="8" max="8" width="18.28515625" style="11" customWidth="1"/>
    <col min="9" max="9" width="22.5703125" style="11" customWidth="1"/>
    <col min="10" max="16384" width="9.140625" style="11"/>
  </cols>
  <sheetData>
    <row r="1" spans="1:8" ht="17.25" customHeight="1">
      <c r="A1" s="7" t="s">
        <v>11</v>
      </c>
      <c r="B1" s="7" t="s">
        <v>12</v>
      </c>
      <c r="C1" s="2" t="s">
        <v>13</v>
      </c>
      <c r="D1" s="10" t="s">
        <v>14</v>
      </c>
      <c r="E1" s="10" t="s">
        <v>15</v>
      </c>
      <c r="F1" s="10" t="s">
        <v>16</v>
      </c>
      <c r="G1" s="7" t="s">
        <v>115</v>
      </c>
      <c r="H1" s="10" t="s">
        <v>18</v>
      </c>
    </row>
    <row r="2" spans="1:8" ht="14.25" customHeight="1">
      <c r="A2" s="14" t="s">
        <v>19</v>
      </c>
      <c r="B2" s="14"/>
      <c r="C2" s="36"/>
      <c r="D2" s="37"/>
      <c r="E2" s="14"/>
      <c r="F2" s="14"/>
      <c r="G2" s="14"/>
      <c r="H2" s="14"/>
    </row>
    <row r="3" spans="1:8" ht="60.75">
      <c r="A3" s="27" t="s">
        <v>139</v>
      </c>
      <c r="B3" s="40" t="s">
        <v>140</v>
      </c>
      <c r="C3" s="3" t="s">
        <v>141</v>
      </c>
      <c r="D3" s="20" t="s">
        <v>142</v>
      </c>
      <c r="E3" s="20" t="s">
        <v>143</v>
      </c>
      <c r="F3" s="20" t="s">
        <v>144</v>
      </c>
      <c r="G3" s="8" t="s">
        <v>25</v>
      </c>
      <c r="H3" s="8" t="s">
        <v>30</v>
      </c>
    </row>
    <row r="4" spans="1:8" ht="76.5">
      <c r="A4" s="27" t="s">
        <v>145</v>
      </c>
      <c r="B4" s="40"/>
      <c r="C4" s="3" t="s">
        <v>146</v>
      </c>
      <c r="D4" s="20" t="s">
        <v>142</v>
      </c>
      <c r="E4" s="20" t="s">
        <v>147</v>
      </c>
      <c r="F4" s="20" t="s">
        <v>148</v>
      </c>
      <c r="G4" s="8" t="s">
        <v>25</v>
      </c>
      <c r="H4" s="8" t="s">
        <v>30</v>
      </c>
    </row>
    <row r="5" spans="1:8" ht="76.5">
      <c r="A5" s="27" t="s">
        <v>149</v>
      </c>
      <c r="B5" s="40"/>
      <c r="C5" s="3" t="s">
        <v>150</v>
      </c>
      <c r="D5" s="20" t="s">
        <v>151</v>
      </c>
      <c r="E5" s="20" t="s">
        <v>152</v>
      </c>
      <c r="F5" s="20" t="s">
        <v>153</v>
      </c>
      <c r="G5" s="8" t="s">
        <v>25</v>
      </c>
      <c r="H5" s="8" t="s">
        <v>30</v>
      </c>
    </row>
    <row r="6" spans="1:8" ht="60.75">
      <c r="A6" s="27" t="s">
        <v>154</v>
      </c>
      <c r="B6" s="40"/>
      <c r="C6" s="3" t="s">
        <v>155</v>
      </c>
      <c r="D6" s="20" t="s">
        <v>156</v>
      </c>
      <c r="E6" s="20" t="s">
        <v>152</v>
      </c>
      <c r="F6" s="20" t="s">
        <v>157</v>
      </c>
      <c r="G6" s="8" t="s">
        <v>30</v>
      </c>
      <c r="H6" s="8" t="s">
        <v>30</v>
      </c>
    </row>
    <row r="7" spans="1:8">
      <c r="A7" s="9"/>
      <c r="B7" s="9"/>
      <c r="C7" s="4"/>
      <c r="D7" s="38"/>
      <c r="E7" s="4"/>
      <c r="F7" s="4"/>
      <c r="G7" s="9"/>
      <c r="H7" s="9"/>
    </row>
    <row r="8" spans="1:8" ht="91.5">
      <c r="A8" s="39" t="s">
        <v>139</v>
      </c>
      <c r="B8" s="66" t="s">
        <v>158</v>
      </c>
      <c r="C8" s="34" t="s">
        <v>159</v>
      </c>
      <c r="D8" s="68" t="s">
        <v>160</v>
      </c>
      <c r="E8" s="68" t="s">
        <v>161</v>
      </c>
      <c r="F8" s="68" t="s">
        <v>162</v>
      </c>
      <c r="G8" s="8" t="s">
        <v>25</v>
      </c>
      <c r="H8" s="8" t="s">
        <v>30</v>
      </c>
    </row>
    <row r="9" spans="1:8" ht="91.5">
      <c r="A9" s="39" t="s">
        <v>145</v>
      </c>
      <c r="B9" s="66"/>
      <c r="C9" s="34" t="s">
        <v>163</v>
      </c>
      <c r="D9" s="68" t="s">
        <v>160</v>
      </c>
      <c r="E9" s="68" t="s">
        <v>164</v>
      </c>
      <c r="F9" s="68" t="s">
        <v>165</v>
      </c>
      <c r="G9" s="8" t="s">
        <v>30</v>
      </c>
      <c r="H9" s="8" t="s">
        <v>30</v>
      </c>
    </row>
    <row r="10" spans="1:8" ht="106.5">
      <c r="A10" s="39" t="s">
        <v>149</v>
      </c>
      <c r="B10" s="66"/>
      <c r="C10" s="69" t="s">
        <v>166</v>
      </c>
      <c r="D10" s="69" t="s">
        <v>167</v>
      </c>
      <c r="E10" s="68" t="s">
        <v>168</v>
      </c>
      <c r="F10" s="68" t="s">
        <v>169</v>
      </c>
      <c r="G10" s="41" t="s">
        <v>30</v>
      </c>
      <c r="H10" s="41" t="s">
        <v>30</v>
      </c>
    </row>
    <row r="11" spans="1:8" ht="106.5">
      <c r="A11" s="39" t="s">
        <v>154</v>
      </c>
      <c r="B11" s="66"/>
      <c r="C11" s="69"/>
      <c r="D11" s="69"/>
      <c r="E11" s="68" t="s">
        <v>170</v>
      </c>
      <c r="F11" s="68" t="s">
        <v>169</v>
      </c>
      <c r="G11" s="41"/>
      <c r="H11" s="41"/>
    </row>
    <row r="12" spans="1:8" ht="76.5">
      <c r="A12" s="39" t="s">
        <v>171</v>
      </c>
      <c r="B12" s="66"/>
      <c r="C12" s="34" t="s">
        <v>172</v>
      </c>
      <c r="D12" s="68" t="s">
        <v>167</v>
      </c>
      <c r="E12" s="68" t="s">
        <v>173</v>
      </c>
      <c r="F12" s="68" t="s">
        <v>174</v>
      </c>
      <c r="G12" s="8" t="s">
        <v>25</v>
      </c>
      <c r="H12" s="8" t="s">
        <v>30</v>
      </c>
    </row>
    <row r="13" spans="1:8" ht="76.5">
      <c r="A13" s="39" t="s">
        <v>175</v>
      </c>
      <c r="B13" s="66"/>
      <c r="C13" s="34" t="s">
        <v>176</v>
      </c>
      <c r="D13" s="68" t="s">
        <v>167</v>
      </c>
      <c r="E13" s="68" t="s">
        <v>164</v>
      </c>
      <c r="F13" s="34" t="s">
        <v>177</v>
      </c>
      <c r="G13" s="8" t="s">
        <v>30</v>
      </c>
      <c r="H13" s="8" t="s">
        <v>30</v>
      </c>
    </row>
    <row r="14" spans="1:8" ht="76.5">
      <c r="A14" s="39" t="s">
        <v>178</v>
      </c>
      <c r="B14" s="66"/>
      <c r="C14" s="34" t="s">
        <v>179</v>
      </c>
      <c r="D14" s="68" t="s">
        <v>180</v>
      </c>
      <c r="E14" s="68" t="s">
        <v>181</v>
      </c>
      <c r="F14" s="34" t="s">
        <v>182</v>
      </c>
      <c r="G14" s="8" t="s">
        <v>30</v>
      </c>
      <c r="H14" s="8" t="s">
        <v>30</v>
      </c>
    </row>
    <row r="15" spans="1:8" ht="76.5">
      <c r="A15" s="39" t="s">
        <v>183</v>
      </c>
      <c r="B15" s="66"/>
      <c r="C15" s="34" t="s">
        <v>184</v>
      </c>
      <c r="D15" s="68" t="s">
        <v>180</v>
      </c>
      <c r="E15" s="68" t="s">
        <v>185</v>
      </c>
      <c r="F15" s="34" t="s">
        <v>182</v>
      </c>
      <c r="G15" s="8" t="s">
        <v>30</v>
      </c>
      <c r="H15" s="8" t="s">
        <v>30</v>
      </c>
    </row>
    <row r="16" spans="1:8" ht="76.5">
      <c r="A16" s="39" t="s">
        <v>186</v>
      </c>
      <c r="B16" s="66"/>
      <c r="C16" s="34" t="s">
        <v>187</v>
      </c>
      <c r="D16" s="68" t="s">
        <v>180</v>
      </c>
      <c r="E16" s="68" t="s">
        <v>188</v>
      </c>
      <c r="F16" s="68" t="s">
        <v>189</v>
      </c>
      <c r="G16" s="8" t="s">
        <v>25</v>
      </c>
      <c r="H16" s="8" t="s">
        <v>30</v>
      </c>
    </row>
    <row r="17" spans="1:8" ht="76.5">
      <c r="A17" s="39" t="s">
        <v>190</v>
      </c>
      <c r="B17" s="66"/>
      <c r="C17" s="34" t="s">
        <v>191</v>
      </c>
      <c r="D17" s="68" t="s">
        <v>180</v>
      </c>
      <c r="E17" s="68" t="s">
        <v>164</v>
      </c>
      <c r="F17" s="68" t="s">
        <v>192</v>
      </c>
      <c r="G17" s="8" t="s">
        <v>30</v>
      </c>
      <c r="H17" s="8" t="s">
        <v>30</v>
      </c>
    </row>
    <row r="18" spans="1:8" ht="121.5">
      <c r="A18" s="39" t="s">
        <v>193</v>
      </c>
      <c r="B18" s="66"/>
      <c r="C18" s="34" t="s">
        <v>194</v>
      </c>
      <c r="D18" s="68" t="s">
        <v>195</v>
      </c>
      <c r="E18" s="68" t="s">
        <v>196</v>
      </c>
      <c r="F18" s="68" t="s">
        <v>197</v>
      </c>
      <c r="G18" s="8" t="s">
        <v>25</v>
      </c>
      <c r="H18" s="8" t="s">
        <v>30</v>
      </c>
    </row>
    <row r="19" spans="1:8" ht="121.5">
      <c r="A19" s="39" t="s">
        <v>198</v>
      </c>
      <c r="B19" s="66"/>
      <c r="C19" s="34" t="s">
        <v>199</v>
      </c>
      <c r="D19" s="68" t="s">
        <v>200</v>
      </c>
      <c r="E19" s="68" t="s">
        <v>196</v>
      </c>
      <c r="F19" s="68" t="s">
        <v>201</v>
      </c>
      <c r="G19" s="8" t="s">
        <v>25</v>
      </c>
      <c r="H19" s="8" t="s">
        <v>30</v>
      </c>
    </row>
    <row r="20" spans="1:8" ht="76.5">
      <c r="A20" s="39" t="s">
        <v>202</v>
      </c>
      <c r="B20" s="66"/>
      <c r="C20" s="34" t="s">
        <v>203</v>
      </c>
      <c r="D20" s="68" t="s">
        <v>204</v>
      </c>
      <c r="E20" s="68" t="s">
        <v>205</v>
      </c>
      <c r="F20" s="68" t="s">
        <v>206</v>
      </c>
      <c r="G20" s="8" t="s">
        <v>25</v>
      </c>
      <c r="H20" s="8" t="s">
        <v>30</v>
      </c>
    </row>
    <row r="21" spans="1:8" ht="76.5">
      <c r="A21" s="39" t="s">
        <v>207</v>
      </c>
      <c r="B21" s="66"/>
      <c r="C21" s="34" t="s">
        <v>208</v>
      </c>
      <c r="D21" s="68" t="s">
        <v>204</v>
      </c>
      <c r="E21" s="68" t="s">
        <v>164</v>
      </c>
      <c r="F21" s="68" t="s">
        <v>174</v>
      </c>
      <c r="G21" s="8" t="s">
        <v>30</v>
      </c>
      <c r="H21" s="8" t="s">
        <v>30</v>
      </c>
    </row>
    <row r="22" spans="1:8" ht="76.5">
      <c r="A22" s="39" t="s">
        <v>209</v>
      </c>
      <c r="B22" s="66"/>
      <c r="C22" s="34" t="s">
        <v>210</v>
      </c>
      <c r="D22" s="68" t="s">
        <v>211</v>
      </c>
      <c r="E22" s="68" t="s">
        <v>212</v>
      </c>
      <c r="F22" s="68" t="s">
        <v>213</v>
      </c>
      <c r="G22" s="8" t="s">
        <v>30</v>
      </c>
      <c r="H22" s="8" t="s">
        <v>30</v>
      </c>
    </row>
    <row r="23" spans="1:8" ht="76.5">
      <c r="A23" s="39" t="s">
        <v>214</v>
      </c>
      <c r="B23" s="66"/>
      <c r="C23" s="34" t="s">
        <v>215</v>
      </c>
      <c r="D23" s="68" t="s">
        <v>211</v>
      </c>
      <c r="E23" s="68" t="s">
        <v>216</v>
      </c>
      <c r="F23" s="68" t="s">
        <v>217</v>
      </c>
      <c r="G23" s="8" t="s">
        <v>25</v>
      </c>
      <c r="H23" s="8" t="s">
        <v>30</v>
      </c>
    </row>
    <row r="24" spans="1:8" ht="76.5">
      <c r="A24" s="39" t="s">
        <v>218</v>
      </c>
      <c r="B24" s="66"/>
      <c r="C24" s="34" t="s">
        <v>219</v>
      </c>
      <c r="D24" s="68" t="s">
        <v>211</v>
      </c>
      <c r="E24" s="68" t="s">
        <v>164</v>
      </c>
      <c r="F24" s="68" t="s">
        <v>189</v>
      </c>
      <c r="G24" s="8" t="s">
        <v>30</v>
      </c>
      <c r="H24" s="8" t="s">
        <v>30</v>
      </c>
    </row>
    <row r="25" spans="1:8" ht="106.5">
      <c r="A25" s="39" t="s">
        <v>220</v>
      </c>
      <c r="B25" s="66"/>
      <c r="C25" s="34" t="s">
        <v>221</v>
      </c>
      <c r="D25" s="68" t="s">
        <v>222</v>
      </c>
      <c r="E25" s="68" t="s">
        <v>223</v>
      </c>
      <c r="F25" s="68" t="s">
        <v>224</v>
      </c>
      <c r="G25" s="8" t="s">
        <v>30</v>
      </c>
      <c r="H25" s="8" t="s">
        <v>30</v>
      </c>
    </row>
    <row r="26" spans="1:8" ht="106.5" customHeight="1">
      <c r="A26" s="39" t="s">
        <v>225</v>
      </c>
      <c r="B26" s="66"/>
      <c r="C26" s="69" t="s">
        <v>226</v>
      </c>
      <c r="D26" s="69" t="s">
        <v>227</v>
      </c>
      <c r="E26" s="68" t="s">
        <v>228</v>
      </c>
      <c r="F26" s="68" t="s">
        <v>229</v>
      </c>
      <c r="G26" s="41" t="s">
        <v>30</v>
      </c>
      <c r="H26" s="41" t="s">
        <v>30</v>
      </c>
    </row>
    <row r="27" spans="1:8" ht="60.75">
      <c r="A27" s="39" t="s">
        <v>230</v>
      </c>
      <c r="B27" s="66"/>
      <c r="C27" s="69"/>
      <c r="D27" s="69"/>
      <c r="E27" s="68" t="s">
        <v>231</v>
      </c>
      <c r="F27" s="68" t="s">
        <v>232</v>
      </c>
      <c r="G27" s="41"/>
      <c r="H27" s="41"/>
    </row>
    <row r="28" spans="1:8" ht="76.5">
      <c r="A28" s="39" t="s">
        <v>233</v>
      </c>
      <c r="B28" s="66"/>
      <c r="C28" s="34" t="s">
        <v>234</v>
      </c>
      <c r="D28" s="68" t="s">
        <v>235</v>
      </c>
      <c r="E28" s="68" t="s">
        <v>236</v>
      </c>
      <c r="F28" s="68" t="s">
        <v>237</v>
      </c>
      <c r="G28" s="8" t="s">
        <v>30</v>
      </c>
      <c r="H28" s="8" t="s">
        <v>30</v>
      </c>
    </row>
    <row r="29" spans="1:8" ht="76.5">
      <c r="A29" s="39" t="s">
        <v>238</v>
      </c>
      <c r="B29" s="66"/>
      <c r="C29" s="34" t="s">
        <v>239</v>
      </c>
      <c r="D29" s="68" t="s">
        <v>235</v>
      </c>
      <c r="E29" s="68" t="s">
        <v>240</v>
      </c>
      <c r="F29" s="68" t="s">
        <v>241</v>
      </c>
      <c r="G29" s="8" t="s">
        <v>30</v>
      </c>
      <c r="H29" s="8" t="s">
        <v>30</v>
      </c>
    </row>
    <row r="30" spans="1:8" ht="76.5">
      <c r="A30" s="39" t="s">
        <v>242</v>
      </c>
      <c r="B30" s="66"/>
      <c r="C30" s="34" t="s">
        <v>243</v>
      </c>
      <c r="D30" s="68" t="s">
        <v>235</v>
      </c>
      <c r="E30" s="68" t="s">
        <v>124</v>
      </c>
      <c r="F30" s="68" t="s">
        <v>244</v>
      </c>
      <c r="G30" s="8" t="s">
        <v>25</v>
      </c>
      <c r="H30" s="8" t="s">
        <v>30</v>
      </c>
    </row>
    <row r="31" spans="1:8" ht="76.5">
      <c r="A31" s="39" t="s">
        <v>245</v>
      </c>
      <c r="B31" s="66"/>
      <c r="C31" s="34" t="s">
        <v>246</v>
      </c>
      <c r="D31" s="68" t="s">
        <v>235</v>
      </c>
      <c r="E31" s="68" t="s">
        <v>247</v>
      </c>
      <c r="F31" s="68" t="s">
        <v>248</v>
      </c>
      <c r="G31" s="8" t="s">
        <v>25</v>
      </c>
      <c r="H31" s="8" t="s">
        <v>30</v>
      </c>
    </row>
    <row r="32" spans="1:8" ht="76.5">
      <c r="A32" s="39" t="s">
        <v>249</v>
      </c>
      <c r="B32" s="66"/>
      <c r="C32" s="34" t="s">
        <v>250</v>
      </c>
      <c r="D32" s="68" t="s">
        <v>235</v>
      </c>
      <c r="E32" s="68" t="s">
        <v>251</v>
      </c>
      <c r="F32" s="68" t="s">
        <v>252</v>
      </c>
      <c r="G32" s="8" t="s">
        <v>25</v>
      </c>
      <c r="H32" s="8" t="s">
        <v>30</v>
      </c>
    </row>
    <row r="33" spans="1:8" ht="76.5">
      <c r="A33" s="39" t="s">
        <v>253</v>
      </c>
      <c r="B33" s="66"/>
      <c r="C33" s="34" t="s">
        <v>254</v>
      </c>
      <c r="D33" s="68" t="s">
        <v>235</v>
      </c>
      <c r="E33" s="68" t="s">
        <v>164</v>
      </c>
      <c r="F33" s="68" t="s">
        <v>206</v>
      </c>
      <c r="G33" s="8" t="s">
        <v>30</v>
      </c>
      <c r="H33" s="8" t="s">
        <v>30</v>
      </c>
    </row>
    <row r="34" spans="1:8">
      <c r="A34" s="9"/>
      <c r="B34" s="9"/>
      <c r="C34" s="4"/>
      <c r="D34" s="38"/>
      <c r="E34" s="4"/>
      <c r="F34" s="4"/>
      <c r="G34" s="9"/>
      <c r="H34" s="9"/>
    </row>
    <row r="35" spans="1:8" ht="76.5">
      <c r="A35" s="27" t="s">
        <v>139</v>
      </c>
      <c r="B35" s="40" t="s">
        <v>255</v>
      </c>
      <c r="C35" s="3" t="s">
        <v>256</v>
      </c>
      <c r="D35" s="20" t="s">
        <v>257</v>
      </c>
      <c r="E35" s="20" t="s">
        <v>258</v>
      </c>
      <c r="F35" s="20" t="s">
        <v>259</v>
      </c>
      <c r="G35" s="8" t="s">
        <v>25</v>
      </c>
      <c r="H35" s="8" t="s">
        <v>30</v>
      </c>
    </row>
    <row r="36" spans="1:8" ht="91.5">
      <c r="A36" s="27" t="s">
        <v>145</v>
      </c>
      <c r="B36" s="40"/>
      <c r="C36" s="70" t="s">
        <v>260</v>
      </c>
      <c r="D36" s="71" t="s">
        <v>257</v>
      </c>
      <c r="E36" s="71" t="s">
        <v>261</v>
      </c>
      <c r="F36" s="71" t="s">
        <v>262</v>
      </c>
      <c r="G36" s="8" t="s">
        <v>30</v>
      </c>
      <c r="H36" s="8" t="s">
        <v>30</v>
      </c>
    </row>
  </sheetData>
  <mergeCells count="11">
    <mergeCell ref="G26:G27"/>
    <mergeCell ref="H26:H27"/>
    <mergeCell ref="D26:D27"/>
    <mergeCell ref="C26:C27"/>
    <mergeCell ref="B8:B33"/>
    <mergeCell ref="B3:B6"/>
    <mergeCell ref="B35:B36"/>
    <mergeCell ref="H10:H11"/>
    <mergeCell ref="G10:G11"/>
    <mergeCell ref="C10:C11"/>
    <mergeCell ref="D10:D11"/>
  </mergeCells>
  <conditionalFormatting sqref="G7:H7 G28:H36 H1:H10 G12:H26">
    <cfRule type="cellIs" dxfId="17" priority="12" operator="equal">
      <formula>"Si"</formula>
    </cfRule>
  </conditionalFormatting>
  <conditionalFormatting sqref="G7:H7 G28:H36 H1:H10 G12:H26">
    <cfRule type="cellIs" dxfId="16" priority="11" operator="equal">
      <formula>"No"</formula>
    </cfRule>
  </conditionalFormatting>
  <conditionalFormatting sqref="G1:G10">
    <cfRule type="cellIs" dxfId="15" priority="2" operator="equal">
      <formula>"Si"</formula>
    </cfRule>
  </conditionalFormatting>
  <conditionalFormatting sqref="G1:G10">
    <cfRule type="cellIs" dxfId="14" priority="1" operator="equal">
      <formula>"No"</formula>
    </cfRule>
  </conditionalFormatting>
  <dataValidations count="1">
    <dataValidation type="list" allowBlank="1" showInputMessage="1" showErrorMessage="1" sqref="G28:H36 G3:H10 G12:H26" xr:uid="{1A21ACE2-0539-4C9F-A720-BAB41B8829E9}">
      <formula1>"Si,No"</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15FFF-B83F-4E89-8CE1-2D45781FDC57}">
  <sheetPr>
    <tabColor theme="9" tint="0.59999389629810485"/>
  </sheetPr>
  <dimension ref="A1:H38"/>
  <sheetViews>
    <sheetView workbookViewId="0">
      <pane ySplit="1" topLeftCell="C2" activePane="bottomLeft" state="frozen"/>
      <selection pane="bottomLeft" activeCell="D44" sqref="D42:Q44"/>
    </sheetView>
  </sheetViews>
  <sheetFormatPr defaultRowHeight="15"/>
  <cols>
    <col min="1" max="1" width="9.140625" style="15"/>
    <col min="2" max="2" width="30.7109375" style="13" customWidth="1"/>
    <col min="3" max="3" width="68.5703125" style="13" customWidth="1"/>
    <col min="4" max="4" width="42" style="13" customWidth="1"/>
    <col min="5" max="5" width="50.5703125" style="13" customWidth="1"/>
    <col min="6" max="6" width="42" style="1" customWidth="1"/>
    <col min="7" max="7" width="13.5703125" style="15" customWidth="1"/>
    <col min="8" max="8" width="18.28515625" style="13" customWidth="1"/>
    <col min="9" max="16384" width="9.140625" style="13"/>
  </cols>
  <sheetData>
    <row r="1" spans="1:8" s="15" customFormat="1">
      <c r="A1" s="7" t="s">
        <v>11</v>
      </c>
      <c r="B1" s="7" t="s">
        <v>12</v>
      </c>
      <c r="C1" s="7" t="s">
        <v>13</v>
      </c>
      <c r="D1" s="7" t="s">
        <v>14</v>
      </c>
      <c r="E1" s="7" t="s">
        <v>15</v>
      </c>
      <c r="F1" s="7" t="s">
        <v>16</v>
      </c>
      <c r="G1" s="7" t="s">
        <v>115</v>
      </c>
      <c r="H1" s="7" t="s">
        <v>18</v>
      </c>
    </row>
    <row r="2" spans="1:8" s="15" customFormat="1" ht="16.5" customHeight="1">
      <c r="A2" s="63" t="s">
        <v>19</v>
      </c>
      <c r="B2" s="63"/>
      <c r="C2" s="63"/>
      <c r="D2" s="63"/>
      <c r="E2" s="63"/>
      <c r="F2" s="63"/>
      <c r="G2" s="63"/>
      <c r="H2" s="63"/>
    </row>
    <row r="3" spans="1:8" ht="30.75">
      <c r="A3" s="27" t="s">
        <v>139</v>
      </c>
      <c r="B3" s="64" t="s">
        <v>263</v>
      </c>
      <c r="C3" s="3" t="s">
        <v>264</v>
      </c>
      <c r="D3" s="3" t="s">
        <v>265</v>
      </c>
      <c r="E3" s="3" t="s">
        <v>266</v>
      </c>
      <c r="F3" s="3" t="s">
        <v>267</v>
      </c>
      <c r="G3" s="8" t="s">
        <v>25</v>
      </c>
      <c r="H3" s="8" t="s">
        <v>25</v>
      </c>
    </row>
    <row r="4" spans="1:8" ht="30.75">
      <c r="A4" s="27" t="s">
        <v>145</v>
      </c>
      <c r="B4" s="64"/>
      <c r="C4" s="3" t="s">
        <v>268</v>
      </c>
      <c r="D4" s="3" t="s">
        <v>265</v>
      </c>
      <c r="E4" s="3" t="s">
        <v>269</v>
      </c>
      <c r="F4" s="3" t="s">
        <v>267</v>
      </c>
      <c r="G4" s="8" t="s">
        <v>25</v>
      </c>
      <c r="H4" s="8" t="s">
        <v>25</v>
      </c>
    </row>
    <row r="5" spans="1:8" ht="30.75">
      <c r="A5" s="27" t="s">
        <v>149</v>
      </c>
      <c r="B5" s="64"/>
      <c r="C5" s="3" t="s">
        <v>270</v>
      </c>
      <c r="D5" s="3" t="s">
        <v>265</v>
      </c>
      <c r="E5" s="3" t="s">
        <v>271</v>
      </c>
      <c r="F5" s="3" t="s">
        <v>267</v>
      </c>
      <c r="G5" s="8" t="s">
        <v>25</v>
      </c>
      <c r="H5" s="8" t="s">
        <v>25</v>
      </c>
    </row>
    <row r="6" spans="1:8">
      <c r="A6" s="23"/>
      <c r="B6" s="24"/>
      <c r="C6" s="24"/>
      <c r="D6" s="24"/>
      <c r="E6" s="24"/>
      <c r="F6" s="25"/>
      <c r="G6" s="23"/>
      <c r="H6" s="24"/>
    </row>
    <row r="7" spans="1:8" ht="60.75" customHeight="1">
      <c r="A7" s="28" t="s">
        <v>139</v>
      </c>
      <c r="B7" s="66" t="s">
        <v>272</v>
      </c>
      <c r="C7" s="67" t="s">
        <v>273</v>
      </c>
      <c r="D7" s="66" t="s">
        <v>274</v>
      </c>
      <c r="E7" s="33" t="s">
        <v>275</v>
      </c>
      <c r="F7" s="34" t="s">
        <v>276</v>
      </c>
      <c r="G7" s="41" t="s">
        <v>30</v>
      </c>
      <c r="H7" s="41" t="s">
        <v>30</v>
      </c>
    </row>
    <row r="8" spans="1:8" ht="45.75">
      <c r="A8" s="28" t="s">
        <v>145</v>
      </c>
      <c r="B8" s="66"/>
      <c r="C8" s="67"/>
      <c r="D8" s="66"/>
      <c r="E8" s="33" t="s">
        <v>277</v>
      </c>
      <c r="F8" s="34" t="s">
        <v>278</v>
      </c>
      <c r="G8" s="41"/>
      <c r="H8" s="41"/>
    </row>
    <row r="9" spans="1:8" ht="76.5">
      <c r="A9" s="28" t="s">
        <v>149</v>
      </c>
      <c r="B9" s="66"/>
      <c r="C9" s="33" t="s">
        <v>279</v>
      </c>
      <c r="D9" s="34" t="s">
        <v>280</v>
      </c>
      <c r="E9" s="33" t="s">
        <v>275</v>
      </c>
      <c r="F9" s="34" t="s">
        <v>281</v>
      </c>
      <c r="G9" s="8" t="s">
        <v>30</v>
      </c>
      <c r="H9" s="8" t="s">
        <v>30</v>
      </c>
    </row>
    <row r="10" spans="1:8" ht="91.5">
      <c r="A10" s="28" t="s">
        <v>154</v>
      </c>
      <c r="B10" s="66"/>
      <c r="C10" s="33" t="s">
        <v>282</v>
      </c>
      <c r="D10" s="34" t="s">
        <v>283</v>
      </c>
      <c r="E10" s="33" t="s">
        <v>275</v>
      </c>
      <c r="F10" s="34" t="s">
        <v>284</v>
      </c>
      <c r="G10" s="8" t="s">
        <v>25</v>
      </c>
      <c r="H10" s="8" t="s">
        <v>25</v>
      </c>
    </row>
    <row r="11" spans="1:8" ht="91.5">
      <c r="A11" s="28" t="s">
        <v>171</v>
      </c>
      <c r="B11" s="66"/>
      <c r="C11" s="33" t="s">
        <v>285</v>
      </c>
      <c r="D11" s="34" t="s">
        <v>286</v>
      </c>
      <c r="E11" s="34" t="s">
        <v>287</v>
      </c>
      <c r="F11" s="34" t="s">
        <v>288</v>
      </c>
      <c r="G11" s="8" t="s">
        <v>25</v>
      </c>
      <c r="H11" s="8" t="s">
        <v>25</v>
      </c>
    </row>
    <row r="12" spans="1:8" ht="106.5">
      <c r="A12" s="28" t="s">
        <v>175</v>
      </c>
      <c r="B12" s="66"/>
      <c r="C12" s="33" t="s">
        <v>289</v>
      </c>
      <c r="D12" s="34" t="s">
        <v>286</v>
      </c>
      <c r="E12" s="34" t="s">
        <v>290</v>
      </c>
      <c r="F12" s="34" t="s">
        <v>291</v>
      </c>
      <c r="G12" s="8" t="s">
        <v>25</v>
      </c>
      <c r="H12" s="8" t="s">
        <v>25</v>
      </c>
    </row>
    <row r="13" spans="1:8" ht="91.5">
      <c r="A13" s="28" t="s">
        <v>178</v>
      </c>
      <c r="B13" s="66"/>
      <c r="C13" s="33" t="s">
        <v>292</v>
      </c>
      <c r="D13" s="34" t="s">
        <v>286</v>
      </c>
      <c r="E13" s="34" t="s">
        <v>293</v>
      </c>
      <c r="F13" s="34" t="s">
        <v>294</v>
      </c>
      <c r="G13" s="8" t="s">
        <v>30</v>
      </c>
      <c r="H13" s="8" t="s">
        <v>30</v>
      </c>
    </row>
    <row r="14" spans="1:8" ht="91.5">
      <c r="A14" s="28" t="s">
        <v>183</v>
      </c>
      <c r="B14" s="66"/>
      <c r="C14" s="33" t="s">
        <v>295</v>
      </c>
      <c r="D14" s="34" t="s">
        <v>286</v>
      </c>
      <c r="E14" s="34" t="s">
        <v>296</v>
      </c>
      <c r="F14" s="34" t="s">
        <v>297</v>
      </c>
      <c r="G14" s="8" t="s">
        <v>25</v>
      </c>
      <c r="H14" s="8" t="s">
        <v>25</v>
      </c>
    </row>
    <row r="15" spans="1:8" ht="121.5">
      <c r="A15" s="28" t="s">
        <v>186</v>
      </c>
      <c r="B15" s="66"/>
      <c r="C15" s="33" t="s">
        <v>298</v>
      </c>
      <c r="D15" s="34" t="s">
        <v>286</v>
      </c>
      <c r="E15" s="34" t="s">
        <v>299</v>
      </c>
      <c r="F15" s="34" t="s">
        <v>300</v>
      </c>
      <c r="G15" s="8" t="s">
        <v>30</v>
      </c>
      <c r="H15" s="8" t="s">
        <v>30</v>
      </c>
    </row>
    <row r="16" spans="1:8">
      <c r="A16" s="23"/>
      <c r="B16" s="24"/>
      <c r="C16" s="24"/>
      <c r="D16" s="24"/>
      <c r="E16" s="24"/>
      <c r="F16" s="25"/>
      <c r="G16" s="23"/>
      <c r="H16" s="24"/>
    </row>
    <row r="17" spans="1:8" ht="60.75">
      <c r="A17" s="26" t="s">
        <v>139</v>
      </c>
      <c r="B17" s="40" t="s">
        <v>301</v>
      </c>
      <c r="C17" s="30" t="s">
        <v>302</v>
      </c>
      <c r="D17" s="3" t="s">
        <v>303</v>
      </c>
      <c r="E17" s="3" t="s">
        <v>304</v>
      </c>
      <c r="F17" s="3" t="s">
        <v>305</v>
      </c>
      <c r="G17" s="8" t="s">
        <v>30</v>
      </c>
      <c r="H17" s="8" t="s">
        <v>30</v>
      </c>
    </row>
    <row r="18" spans="1:8" ht="106.5">
      <c r="A18" s="26" t="s">
        <v>145</v>
      </c>
      <c r="B18" s="40"/>
      <c r="C18" s="30" t="s">
        <v>306</v>
      </c>
      <c r="D18" s="3" t="s">
        <v>303</v>
      </c>
      <c r="E18" s="3" t="s">
        <v>307</v>
      </c>
      <c r="F18" s="3" t="s">
        <v>308</v>
      </c>
      <c r="G18" s="8" t="s">
        <v>30</v>
      </c>
      <c r="H18" s="8" t="s">
        <v>30</v>
      </c>
    </row>
    <row r="19" spans="1:8" ht="106.5">
      <c r="A19" s="26" t="s">
        <v>149</v>
      </c>
      <c r="B19" s="40"/>
      <c r="C19" s="30" t="s">
        <v>309</v>
      </c>
      <c r="D19" s="3" t="s">
        <v>303</v>
      </c>
      <c r="E19" s="3" t="s">
        <v>310</v>
      </c>
      <c r="F19" s="3" t="s">
        <v>308</v>
      </c>
      <c r="G19" s="8" t="s">
        <v>30</v>
      </c>
      <c r="H19" s="8" t="s">
        <v>30</v>
      </c>
    </row>
    <row r="20" spans="1:8" ht="106.5">
      <c r="A20" s="26" t="s">
        <v>154</v>
      </c>
      <c r="B20" s="40"/>
      <c r="C20" s="30" t="s">
        <v>311</v>
      </c>
      <c r="D20" s="3" t="s">
        <v>303</v>
      </c>
      <c r="E20" s="3" t="s">
        <v>312</v>
      </c>
      <c r="F20" s="3" t="s">
        <v>308</v>
      </c>
      <c r="G20" s="8" t="s">
        <v>30</v>
      </c>
      <c r="H20" s="8" t="s">
        <v>30</v>
      </c>
    </row>
    <row r="21" spans="1:8" ht="106.5">
      <c r="A21" s="26" t="s">
        <v>171</v>
      </c>
      <c r="B21" s="40"/>
      <c r="C21" s="30" t="s">
        <v>313</v>
      </c>
      <c r="D21" s="3" t="s">
        <v>303</v>
      </c>
      <c r="E21" s="3" t="s">
        <v>314</v>
      </c>
      <c r="F21" s="3" t="s">
        <v>308</v>
      </c>
      <c r="G21" s="8" t="s">
        <v>25</v>
      </c>
      <c r="H21" s="8" t="s">
        <v>25</v>
      </c>
    </row>
    <row r="22" spans="1:8">
      <c r="A22" s="23"/>
      <c r="B22" s="24"/>
      <c r="C22" s="24"/>
      <c r="D22" s="24"/>
      <c r="E22" s="24"/>
      <c r="F22" s="25"/>
      <c r="G22" s="23"/>
      <c r="H22" s="24"/>
    </row>
    <row r="23" spans="1:8" ht="45.75">
      <c r="A23" s="28" t="s">
        <v>139</v>
      </c>
      <c r="B23" s="65" t="s">
        <v>315</v>
      </c>
      <c r="C23" s="33" t="s">
        <v>316</v>
      </c>
      <c r="D23" s="34" t="s">
        <v>317</v>
      </c>
      <c r="E23" s="33" t="s">
        <v>318</v>
      </c>
      <c r="F23" s="34" t="s">
        <v>319</v>
      </c>
      <c r="G23" s="8" t="s">
        <v>25</v>
      </c>
      <c r="H23" s="8" t="s">
        <v>25</v>
      </c>
    </row>
    <row r="24" spans="1:8" ht="60.75">
      <c r="A24" s="28" t="s">
        <v>145</v>
      </c>
      <c r="B24" s="65"/>
      <c r="C24" s="33" t="s">
        <v>320</v>
      </c>
      <c r="D24" s="34" t="s">
        <v>321</v>
      </c>
      <c r="E24" s="33" t="s">
        <v>318</v>
      </c>
      <c r="F24" s="34" t="s">
        <v>322</v>
      </c>
      <c r="G24" s="8" t="s">
        <v>25</v>
      </c>
      <c r="H24" s="8" t="s">
        <v>25</v>
      </c>
    </row>
    <row r="25" spans="1:8" ht="60.75">
      <c r="A25" s="28" t="s">
        <v>149</v>
      </c>
      <c r="B25" s="65"/>
      <c r="C25" s="33" t="s">
        <v>323</v>
      </c>
      <c r="D25" s="34" t="s">
        <v>303</v>
      </c>
      <c r="E25" s="34" t="s">
        <v>324</v>
      </c>
      <c r="F25" s="34" t="s">
        <v>325</v>
      </c>
      <c r="G25" s="8" t="s">
        <v>25</v>
      </c>
      <c r="H25" s="8" t="s">
        <v>25</v>
      </c>
    </row>
    <row r="26" spans="1:8">
      <c r="A26" s="23"/>
      <c r="B26" s="24"/>
      <c r="C26" s="24"/>
      <c r="D26" s="24"/>
      <c r="E26" s="24"/>
      <c r="F26" s="25"/>
      <c r="G26" s="23"/>
      <c r="H26" s="24"/>
    </row>
    <row r="27" spans="1:8" ht="76.5">
      <c r="A27" s="26" t="s">
        <v>139</v>
      </c>
      <c r="B27" s="64" t="s">
        <v>326</v>
      </c>
      <c r="C27" s="30" t="s">
        <v>327</v>
      </c>
      <c r="D27" s="3" t="s">
        <v>328</v>
      </c>
      <c r="E27" s="3" t="s">
        <v>329</v>
      </c>
      <c r="F27" s="3" t="s">
        <v>330</v>
      </c>
      <c r="G27" s="8" t="s">
        <v>30</v>
      </c>
      <c r="H27" s="8" t="s">
        <v>25</v>
      </c>
    </row>
    <row r="28" spans="1:8" ht="106.5">
      <c r="A28" s="26" t="s">
        <v>145</v>
      </c>
      <c r="B28" s="64"/>
      <c r="C28" s="30" t="s">
        <v>331</v>
      </c>
      <c r="D28" s="3" t="s">
        <v>332</v>
      </c>
      <c r="E28" s="3" t="s">
        <v>333</v>
      </c>
      <c r="F28" s="3" t="s">
        <v>334</v>
      </c>
      <c r="G28" s="8" t="s">
        <v>25</v>
      </c>
      <c r="H28" s="8" t="s">
        <v>25</v>
      </c>
    </row>
    <row r="29" spans="1:8" ht="45.75">
      <c r="A29" s="26" t="s">
        <v>149</v>
      </c>
      <c r="B29" s="64"/>
      <c r="C29" s="30" t="s">
        <v>335</v>
      </c>
      <c r="D29" s="3" t="s">
        <v>332</v>
      </c>
      <c r="E29" s="3" t="s">
        <v>336</v>
      </c>
      <c r="F29" s="3" t="s">
        <v>337</v>
      </c>
      <c r="G29" s="8" t="s">
        <v>30</v>
      </c>
      <c r="H29" s="8" t="s">
        <v>25</v>
      </c>
    </row>
    <row r="30" spans="1:8" ht="91.5">
      <c r="A30" s="26" t="s">
        <v>154</v>
      </c>
      <c r="B30" s="64"/>
      <c r="C30" s="30" t="s">
        <v>338</v>
      </c>
      <c r="D30" s="3" t="s">
        <v>339</v>
      </c>
      <c r="E30" s="3" t="s">
        <v>340</v>
      </c>
      <c r="F30" s="3" t="s">
        <v>341</v>
      </c>
      <c r="G30" s="8" t="s">
        <v>30</v>
      </c>
      <c r="H30" s="8" t="s">
        <v>30</v>
      </c>
    </row>
    <row r="31" spans="1:8" ht="121.5" customHeight="1">
      <c r="A31" s="26" t="s">
        <v>171</v>
      </c>
      <c r="B31" s="64"/>
      <c r="C31" s="30" t="s">
        <v>342</v>
      </c>
      <c r="D31" s="3" t="s">
        <v>343</v>
      </c>
      <c r="E31" s="3" t="s">
        <v>344</v>
      </c>
      <c r="F31" s="3" t="s">
        <v>345</v>
      </c>
      <c r="G31" s="8" t="s">
        <v>30</v>
      </c>
      <c r="H31" s="8" t="s">
        <v>30</v>
      </c>
    </row>
    <row r="32" spans="1:8" ht="91.5">
      <c r="A32" s="26" t="s">
        <v>175</v>
      </c>
      <c r="B32" s="64"/>
      <c r="C32" s="30" t="s">
        <v>346</v>
      </c>
      <c r="D32" s="3" t="s">
        <v>347</v>
      </c>
      <c r="E32" s="3" t="s">
        <v>348</v>
      </c>
      <c r="F32" s="3" t="s">
        <v>349</v>
      </c>
      <c r="G32" s="8" t="s">
        <v>30</v>
      </c>
      <c r="H32" s="8" t="s">
        <v>30</v>
      </c>
    </row>
    <row r="33" spans="1:8" ht="91.5">
      <c r="A33" s="26" t="s">
        <v>178</v>
      </c>
      <c r="B33" s="64"/>
      <c r="C33" s="30" t="s">
        <v>350</v>
      </c>
      <c r="D33" s="3" t="s">
        <v>351</v>
      </c>
      <c r="E33" s="3" t="s">
        <v>352</v>
      </c>
      <c r="F33" s="3" t="s">
        <v>353</v>
      </c>
      <c r="G33" s="8" t="s">
        <v>25</v>
      </c>
      <c r="H33" s="8" t="s">
        <v>25</v>
      </c>
    </row>
    <row r="34" spans="1:8">
      <c r="A34" s="23"/>
      <c r="B34" s="24"/>
      <c r="C34" s="24"/>
      <c r="D34" s="24"/>
      <c r="E34" s="24"/>
      <c r="F34" s="25"/>
      <c r="G34" s="23"/>
      <c r="H34" s="24"/>
    </row>
    <row r="35" spans="1:8" ht="76.5">
      <c r="A35" s="28" t="s">
        <v>139</v>
      </c>
      <c r="B35" s="65" t="s">
        <v>354</v>
      </c>
      <c r="C35" s="33" t="s">
        <v>355</v>
      </c>
      <c r="D35" s="34" t="s">
        <v>332</v>
      </c>
      <c r="E35" s="34" t="s">
        <v>356</v>
      </c>
      <c r="F35" s="34" t="s">
        <v>357</v>
      </c>
      <c r="G35" s="8" t="s">
        <v>30</v>
      </c>
      <c r="H35" s="8" t="s">
        <v>30</v>
      </c>
    </row>
    <row r="36" spans="1:8" ht="76.5">
      <c r="A36" s="28" t="s">
        <v>145</v>
      </c>
      <c r="B36" s="65"/>
      <c r="C36" s="33" t="s">
        <v>358</v>
      </c>
      <c r="D36" s="34" t="s">
        <v>332</v>
      </c>
      <c r="E36" s="34" t="s">
        <v>359</v>
      </c>
      <c r="F36" s="34" t="s">
        <v>360</v>
      </c>
      <c r="G36" s="8" t="s">
        <v>30</v>
      </c>
      <c r="H36" s="8" t="s">
        <v>30</v>
      </c>
    </row>
    <row r="37" spans="1:8" ht="91.5">
      <c r="A37" s="28" t="s">
        <v>149</v>
      </c>
      <c r="B37" s="65"/>
      <c r="C37" s="33" t="s">
        <v>361</v>
      </c>
      <c r="D37" s="34" t="s">
        <v>332</v>
      </c>
      <c r="E37" s="34" t="s">
        <v>362</v>
      </c>
      <c r="F37" s="34" t="s">
        <v>363</v>
      </c>
      <c r="G37" s="8" t="s">
        <v>25</v>
      </c>
      <c r="H37" s="8" t="s">
        <v>25</v>
      </c>
    </row>
    <row r="38" spans="1:8">
      <c r="A38" s="23"/>
      <c r="B38" s="24"/>
      <c r="C38" s="24"/>
      <c r="D38" s="24"/>
      <c r="E38" s="24"/>
      <c r="F38" s="25"/>
      <c r="G38" s="23"/>
      <c r="H38" s="24"/>
    </row>
  </sheetData>
  <mergeCells count="11">
    <mergeCell ref="A2:H2"/>
    <mergeCell ref="B3:B5"/>
    <mergeCell ref="B7:B15"/>
    <mergeCell ref="B17:B21"/>
    <mergeCell ref="H7:H8"/>
    <mergeCell ref="B27:B33"/>
    <mergeCell ref="B35:B37"/>
    <mergeCell ref="D7:D8"/>
    <mergeCell ref="C7:C8"/>
    <mergeCell ref="G7:G8"/>
    <mergeCell ref="B23:B25"/>
  </mergeCells>
  <conditionalFormatting sqref="H1 G3:H7 G9:H38">
    <cfRule type="cellIs" dxfId="13" priority="12" operator="equal">
      <formula>"Si"</formula>
    </cfRule>
  </conditionalFormatting>
  <conditionalFormatting sqref="H1 G3:H7 G9:H38">
    <cfRule type="cellIs" dxfId="12" priority="11" operator="equal">
      <formula>"No"</formula>
    </cfRule>
  </conditionalFormatting>
  <conditionalFormatting sqref="G1">
    <cfRule type="cellIs" dxfId="11" priority="8" operator="equal">
      <formula>"Si"</formula>
    </cfRule>
  </conditionalFormatting>
  <conditionalFormatting sqref="G1">
    <cfRule type="cellIs" dxfId="10" priority="7" operator="equal">
      <formula>"No"</formula>
    </cfRule>
  </conditionalFormatting>
  <conditionalFormatting sqref="G34:H34">
    <cfRule type="cellIs" dxfId="9" priority="6" operator="equal">
      <formula>"Si"</formula>
    </cfRule>
  </conditionalFormatting>
  <conditionalFormatting sqref="G34:H34">
    <cfRule type="cellIs" dxfId="8" priority="5" operator="equal">
      <formula>"No"</formula>
    </cfRule>
  </conditionalFormatting>
  <conditionalFormatting sqref="G26:H26">
    <cfRule type="cellIs" dxfId="7" priority="2" operator="equal">
      <formula>"Si"</formula>
    </cfRule>
  </conditionalFormatting>
  <conditionalFormatting sqref="G26:H26">
    <cfRule type="cellIs" dxfId="6" priority="1" operator="equal">
      <formula>"No"</formula>
    </cfRule>
  </conditionalFormatting>
  <dataValidations count="1">
    <dataValidation type="list" allowBlank="1" showInputMessage="1" showErrorMessage="1" sqref="G3:H7 G9:H38" xr:uid="{9974C684-950F-40AE-9FF1-3AC1229B08C3}">
      <formula1>"Si,No"</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BFF09-77E0-4856-96C0-981823F5B74D}">
  <sheetPr>
    <tabColor rgb="FFFF0000"/>
  </sheetPr>
  <dimension ref="A1:H2"/>
  <sheetViews>
    <sheetView workbookViewId="0">
      <pane ySplit="1" topLeftCell="C2" activePane="bottomLeft" state="frozen"/>
      <selection pane="bottomLeft" activeCell="E8" sqref="E8"/>
    </sheetView>
  </sheetViews>
  <sheetFormatPr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18.85546875" customWidth="1"/>
  </cols>
  <sheetData>
    <row r="1" spans="1:8" s="31" customFormat="1">
      <c r="A1" s="7" t="s">
        <v>11</v>
      </c>
      <c r="B1" s="7" t="s">
        <v>12</v>
      </c>
      <c r="C1" s="7" t="s">
        <v>13</v>
      </c>
      <c r="D1" s="7" t="s">
        <v>14</v>
      </c>
      <c r="E1" s="7" t="s">
        <v>15</v>
      </c>
      <c r="F1" s="7" t="s">
        <v>16</v>
      </c>
      <c r="G1" s="7" t="s">
        <v>17</v>
      </c>
      <c r="H1" s="7" t="s">
        <v>18</v>
      </c>
    </row>
    <row r="2" spans="1:8" ht="15" customHeight="1">
      <c r="A2" s="63" t="s">
        <v>19</v>
      </c>
      <c r="B2" s="63"/>
      <c r="C2" s="63"/>
      <c r="D2" s="63"/>
      <c r="E2" s="63"/>
      <c r="F2" s="63"/>
      <c r="G2" s="63"/>
      <c r="H2" s="63"/>
    </row>
  </sheetData>
  <mergeCells count="1">
    <mergeCell ref="A2:H2"/>
  </mergeCells>
  <conditionalFormatting sqref="G1">
    <cfRule type="cellIs" dxfId="5" priority="4" operator="equal">
      <formula>"Si"</formula>
    </cfRule>
  </conditionalFormatting>
  <conditionalFormatting sqref="G1">
    <cfRule type="cellIs" dxfId="4" priority="3" operator="equal">
      <formula>"No"</formula>
    </cfRule>
  </conditionalFormatting>
  <conditionalFormatting sqref="H1">
    <cfRule type="cellIs" dxfId="3" priority="2" operator="equal">
      <formula>"Si"</formula>
    </cfRule>
  </conditionalFormatting>
  <conditionalFormatting sqref="H1">
    <cfRule type="cellIs" dxfId="2" priority="1" operator="equal">
      <formula>"No"</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88BF87-5531-4202-A335-2D2A8DCF080D}">
  <dimension ref="A1:H2"/>
  <sheetViews>
    <sheetView topLeftCell="C1" workbookViewId="0">
      <selection activeCell="G4" sqref="G4"/>
    </sheetView>
  </sheetViews>
  <sheetFormatPr defaultRowHeight="15"/>
  <cols>
    <col min="2" max="2" width="30.7109375" customWidth="1"/>
    <col min="3" max="3" width="68.5703125" customWidth="1"/>
    <col min="4" max="4" width="42" customWidth="1"/>
    <col min="5" max="5" width="50.5703125" customWidth="1"/>
    <col min="6" max="6" width="37.42578125" customWidth="1"/>
    <col min="7" max="7" width="18.28515625" customWidth="1"/>
    <col min="8" max="8" width="20.42578125" customWidth="1"/>
  </cols>
  <sheetData>
    <row r="1" spans="1:8">
      <c r="A1" s="7" t="s">
        <v>11</v>
      </c>
      <c r="B1" s="7" t="s">
        <v>12</v>
      </c>
      <c r="C1" s="7" t="s">
        <v>13</v>
      </c>
      <c r="D1" s="7" t="s">
        <v>14</v>
      </c>
      <c r="E1" s="7" t="s">
        <v>15</v>
      </c>
      <c r="F1" s="7" t="s">
        <v>16</v>
      </c>
      <c r="G1" s="7" t="s">
        <v>17</v>
      </c>
      <c r="H1" s="7" t="s">
        <v>18</v>
      </c>
    </row>
    <row r="2" spans="1:8" ht="15" customHeight="1">
      <c r="A2" s="63" t="s">
        <v>19</v>
      </c>
      <c r="B2" s="63"/>
      <c r="C2" s="63"/>
      <c r="D2" s="63"/>
      <c r="E2" s="63"/>
      <c r="F2" s="63"/>
      <c r="G2" s="63"/>
      <c r="H2" s="63"/>
    </row>
  </sheetData>
  <mergeCells count="1">
    <mergeCell ref="A2:H2"/>
  </mergeCells>
  <conditionalFormatting sqref="G1:H1">
    <cfRule type="cellIs" dxfId="1" priority="2" operator="equal">
      <formula>"Si"</formula>
    </cfRule>
  </conditionalFormatting>
  <conditionalFormatting sqref="G1:H1">
    <cfRule type="cellIs" dxfId="0" priority="1" operator="equal">
      <formula>"No"</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o" ma:contentTypeID="0x0101009F842B2145328244B4B47741AC555AE2" ma:contentTypeVersion="11" ma:contentTypeDescription="Crear nuevo documento." ma:contentTypeScope="" ma:versionID="783508ae003506b91aa2be35b4ebc887">
  <xsd:schema xmlns:xsd="http://www.w3.org/2001/XMLSchema" xmlns:xs="http://www.w3.org/2001/XMLSchema" xmlns:p="http://schemas.microsoft.com/office/2006/metadata/properties" xmlns:ns2="96ffd99d-26d2-4d99-98b0-05d0b9b7ac4e" xmlns:ns3="823bb257-b027-4d06-8b2f-053335b328b1" targetNamespace="http://schemas.microsoft.com/office/2006/metadata/properties" ma:root="true" ma:fieldsID="4b965eb5b8ebcdb894d7355c785d1653" ns2:_="" ns3:_="">
    <xsd:import namespace="96ffd99d-26d2-4d99-98b0-05d0b9b7ac4e"/>
    <xsd:import namespace="823bb257-b027-4d06-8b2f-053335b328b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6ffd99d-26d2-4d99-98b0-05d0b9b7ac4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Etiquetas de imagen" ma:readOnly="false" ma:fieldId="{5cf76f15-5ced-4ddc-b409-7134ff3c332f}" ma:taxonomyMulti="true" ma:sspId="e40c8a86-21c0-42e0-9538-1e95a19895cc"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823bb257-b027-4d06-8b2f-053335b328b1"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465b88fc-85e5-4ddb-ab47-c2b550a44b02}" ma:internalName="TaxCatchAll" ma:showField="CatchAllData" ma:web="823bb257-b027-4d06-8b2f-053335b328b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96ffd99d-26d2-4d99-98b0-05d0b9b7ac4e">
      <Terms xmlns="http://schemas.microsoft.com/office/infopath/2007/PartnerControls"/>
    </lcf76f155ced4ddcb4097134ff3c332f>
    <TaxCatchAll xmlns="823bb257-b027-4d06-8b2f-053335b328b1" xsi:nil="true"/>
  </documentManagement>
</p:properties>
</file>

<file path=customXml/itemProps1.xml><?xml version="1.0" encoding="utf-8"?>
<ds:datastoreItem xmlns:ds="http://schemas.openxmlformats.org/officeDocument/2006/customXml" ds:itemID="{1F9711CB-5527-4630-90CE-8FB20FE3F2F4}"/>
</file>

<file path=customXml/itemProps2.xml><?xml version="1.0" encoding="utf-8"?>
<ds:datastoreItem xmlns:ds="http://schemas.openxmlformats.org/officeDocument/2006/customXml" ds:itemID="{7586C8C7-BD1A-40B5-9895-EBBCF21E6150}"/>
</file>

<file path=customXml/itemProps3.xml><?xml version="1.0" encoding="utf-8"?>
<ds:datastoreItem xmlns:ds="http://schemas.openxmlformats.org/officeDocument/2006/customXml" ds:itemID="{4E7A5120-6AB5-47D1-B6E5-3533D82FDBD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Javier Caballero (EXT)</cp:lastModifiedBy>
  <cp:revision/>
  <dcterms:created xsi:type="dcterms:W3CDTF">2026-05-13T15:09:15Z</dcterms:created>
  <dcterms:modified xsi:type="dcterms:W3CDTF">2026-06-24T19:29:59Z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0x0101009F842B2145328244B4B47741AC555AE2</vt:lpwstr>
  </property>
  <property fmtid="{D5CDD505-2E9C-101B-9397-08002B2CF9AE}" pid="3" name="MediaServiceImageTags">
    <vt:lpwstr/>
  </property>
</Properties>
</file>