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089ACAFD-0963-4ED9-B2AA-E9D22267A88D}" xr6:coauthVersionLast="47" xr6:coauthVersionMax="47" xr10:uidLastSave="{00000000-0000-0000-0000-000000000000}"/>
  <bookViews>
    <workbookView xWindow="780" yWindow="780" windowWidth="21600" windowHeight="12645"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<sst xmlns="http://schemas.openxmlformats.org/spreadsheetml/2006/main" count="2746" uniqueCount="809">
  <si>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</si>
  <si>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</si>
  <si>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</si>
  <si>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</si>
  <si>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</si>
  <si>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</si>
  <si>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</si>
  <si>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</si>
  <si>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</si>
  <si>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</si>
  <si>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</si>
  <si>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</si>
  <si>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</si>
  <si>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</si>
  <si>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</si>
  <si>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</si>
  <si>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</si>
  <si>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</si>
  <si>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</si>
  <si>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</si>
  <si>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</si>
  <si>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</si>
  <si>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</si>
  <si>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</si>
  <si>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</si>
  <si>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</si>
  <si>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</si>
  <si>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</si>
  <si>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</si>
  <si>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</si>
  <si>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</si>
  <si>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</si>
  <si>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</si>
  <si>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</si>
  <si>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</si>
  <si>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</si>
  <si>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</si>
  <si>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</si>
  <si>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</si>
  <si>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</si>
  <si>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</si>
  <si>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</si>
  <si>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</si>
  <si>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</si>
  <si>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</si>
  <si>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</si>
  <si>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</si>
  <si>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</si>
  <si>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</si>
  <si>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</si>
  <si>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</si>
  <si>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</si>
  <si>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</si>
  <si>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</si>
  <si>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</si>
  <si>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</si>
  <si>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</si>
  <si>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</si>
  <si>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</si>
  <si>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</si>
  <si>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</si>
  <si>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</si>
  <si>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</si>
  <si>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</si>
  <si>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</si>
  <si>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</si>
  <si>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</si>
  <si>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</si>
  <si>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</si>
  <si>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</si>
  <si>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</si>
  <si>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</si>
  <si>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</si>
  <si>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</si>
  <si>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</si>
  <si>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</si>
  <si>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</si>
  <si>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</si>
  <si>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</si>
  <si>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</si>
  <si>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</si>
  <si>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</si>
  <si>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</si>
  <si>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</si>
  <si>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</si>
  <si>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</si>
  <si>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</si>
  <si>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</si>
  <si>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</si>
  <si>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</si>
  <si>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</si>
  <si>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</si>
  <si>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</si>
  <si>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</si>
  <si>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</si>
  <si>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</si>
  <si>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</si>
  <si>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</si>
  <si>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</si>
  <si>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</si>
  <si>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</si>
  <si>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</si>
  <si>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</si>
  <si>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</si>
  <si>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</si>
  <si>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</si>
  <si>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</si>
  <si>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</si>
  <si>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</si>
  <si>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</si>
  <si>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</si>
  <si>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</si>
  <si>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</si>
  <si>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</si>
  <si>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</si>
  <si>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</si>
  <si>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</si>
  <si>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</si>
  <si>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</si>
  <si>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</si>
  <si>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</si>
  <si>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</si>
  <si>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</si>
  <si>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</si>
  <si>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</si>
  <si>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</si>
  <si>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</si>
  <si>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</si>
  <si>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</si>
  <si>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</si>
  <si>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</si>
  <si>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</si>
  <si>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</si>
  <si>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</si>
  <si>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</si>
  <si>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</si>
  <si>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</si>
  <si>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</si>
  <si>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</si>
  <si>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</si>
  <si>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</si>
  <si>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</si>
  <si>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</si>
  <si>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</si>
  <si>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</si>
  <si>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</si>
  <si>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</si>
  <si>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</si>
  <si>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</si>
  <si>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</si>
  <si>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</si>
  <si>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</si>
  <si>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</si>
  <si>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</si>
  <si>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</si>
  <si>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</si>
  <si>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</si>
  <si>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</si>
  <si>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</si>
  <si>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</si>
  <si>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</si>
  <si>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</si>
  <si>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</si>
  <si>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</si>
  <si>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</si>
  <si>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</si>
  <si>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</si>
  <si>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</si>
  <si>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</si>
  <si>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</si>
  <si>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</si>
  <si>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</si>
  <si>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</si>
  <si>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</si>
  <si>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</si>
  <si>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</si>
  <si>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</si>
  <si>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</si>
  <si>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</si>
  <si>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</si>
  <si>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</si>
  <si>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</si>
  <si>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</si>
  <si>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</si>
  <si>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</si>
  <si>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</si>
  <si>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</si>
  <si>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</si>
  <si>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</si>
  <si>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</si>
  <si>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</si>
  <si>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</si>
  <si>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</si>
  <si>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</si>
  <si>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</si>
  <si>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</si>
  <si>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</si>
  <si>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</si>
  <si>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</si>
  <si>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</si>
  <si>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</si>
  <si>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</si>
  <si>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</si>
  <si>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</si>
  <si>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</si>
  <si>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</si>
  <si>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</si>
  <si>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</si>
  <si>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</si>
  <si>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</si>
  <si>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</si>
  <si>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</si>
  <si>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</si>
  <si>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</si>
  <si>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</si>
  <si>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</si>
  <si>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</si>
  <si>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</si>
  <si>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</si>
  <si>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</si>
  <si>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</si>
  <si>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</si>
  <si>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</si>
  <si>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</si>
  <si>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</si>
  <si>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</si>
  <si>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</si>
  <si>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</si>
  <si>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</si>
  <si>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</si>
  <si>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</si>
  <si>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</si>
  <si>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</si>
  <si>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</si>
  <si>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</si>
  <si>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</si>
  <si>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</si>
  <si>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</si>
  <si>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</si>
  <si>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</si>
  <si>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</si>
  <si>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</si>
  <si>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</si>
  <si>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</si>
  <si>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</si>
  <si>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</si>
  <si>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</si>
  <si>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</si>
  <si>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</si>
  <si>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</si>
  <si>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</si>
  <si>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</si>
  <si>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</si>
  <si>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</si>
  <si>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</si>
  <si>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</si>
  <si>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</si>
  <si>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</si>
  <si>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</si>
  <si>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</si>
  <si>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</si>
  <si>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</si>
  <si>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</si>
  <si>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</si>
  <si>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</si>
  <si>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</si>
  <si>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</si>
  <si>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</si>
  <si>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</si>
  <si>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</si>
  <si>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</si>
  <si>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</si>
  <si>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</si>
  <si>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</si>
  <si>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</si>
  <si>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</si>
  <si>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</si>
  <si>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</si>
  <si>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</si>
  <si>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</si>
  <si>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</si>
  <si>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</si>
  <si>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</si>
  <si>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</si>
  <si>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</si>
  <si>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</si>
  <si>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</si>
  <si>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</si>
  <si>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</si>
  <si>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</si>
  <si>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</si>
  <si>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</si>
  <si>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</si>
  <si>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</si>
  <si>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</si>
  <si>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</si>
  <si>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</si>
  <si>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</si>
  <si>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</si>
  <si>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</si>
  <si>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</si>
  <si>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</si>
  <si>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</si>
  <si>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</si>
  <si>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</si>
  <si>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</si>
  <si>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</si>
  <si>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</si>
  <si>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</si>
  <si>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</si>
  <si>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</si>
  <si>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</si>
  <si>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</si>
  <si>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</si>
  <si>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</si>
  <si>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</si>
  <si>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</si>
  <si>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</si>
  <si>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</si>
  <si>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</si>
  <si>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</si>
  <si>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</si>
  <si>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</si>
  <si>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</si>
  <si>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</si>
  <si>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</si>
  <si>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</si>
  <si>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</si>
  <si>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</si>
  <si>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</si>
  <si>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</si>
  <si>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</si>
  <si>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</si>
  <si>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</si>
  <si>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</si>
  <si>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</si>
  <si>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</si>
  <si>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</si>
  <si>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</si>
  <si>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</si>
  <si>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</si>
  <si>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</si>
  <si>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</si>
  <si>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</si>
  <si>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</si>
  <si>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</si>
  <si>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</si>
  <si>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</si>
  <si>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</si>
  <si>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</si>
  <si>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</si>
  <si>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</si>
  <si>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</si>
  <si>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</si>
  <si>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</si>
  <si>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</si>
  <si>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</si>
  <si>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</si>
  <si>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</si>
  <si>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</si>
  <si>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</si>
  <si>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</si>
  <si>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</si>
  <si>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</si>
  <si>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</si>
  <si>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</si>
  <si>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</si>
  <si>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</si>
  <si>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</si>
  <si>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</si>
  <si>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</si>
  <si>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</si>
  <si>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</si>
  <si>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</si>
  <si>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</si>
  <si>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</si>
  <si>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</si>
  <si>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</si>
  <si>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</si>
  <si>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</si>
  <si>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</si>
  <si>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</si>
  <si>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</si>
  <si>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</si>
  <si>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</si>
  <si>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</si>
  <si>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</si>
  <si>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</si>
  <si>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</si>
  <si>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</si>
  <si>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</si>
  <si>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</si>
  <si>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</si>
  <si>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</si>
  <si>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</si>
  <si>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</si>
  <si>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</si>
  <si>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</si>
  <si>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</si>
  <si>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</si>
  <si>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</si>
  <si>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</si>
  <si>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</si>
  <si>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</si>
  <si>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</si>
  <si>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</si>
  <si>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</si>
  <si>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</si>
  <si>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</si>
  <si>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</si>
  <si>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</si>
  <si>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</si>
  <si>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</si>
  <si>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</si>
  <si>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</si>
  <si>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</si>
  <si>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</si>
  <si>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</si>
  <si>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</si>
  <si>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</si>
  <si>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</si>
  <si>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</si>
  <si>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</si>
  <si>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</si>
  <si>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</si>
  <si>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</si>
  <si>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</si>
  <si>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</si>
  <si>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</si>
  <si>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</si>
  <si>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</si>
  <si>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</si>
  <si>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</si>
  <si>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</si>
  <si>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</si>
  <si>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</si>
  <si>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</si>
  <si>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</si>
  <si>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</si>
  <si>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</si>
  <si>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</si>
  <si>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</si>
  <si>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</si>
  <si>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</si>
  <si>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</si>
  <si>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</si>
  <si>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</si>
  <si>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</si>
  <si>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</si>
  <si>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</si>
  <si>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</si>
  <si>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</si>
  <si>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</si>
  <si>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</si>
  <si>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</si>
  <si>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</si>
  <si>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</si>
  <si>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</si>
  <si>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</si>
  <si>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</si>
  <si>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</si>
  <si>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</si>
  <si>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</si>
  <si>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</si>
  <si>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</si>
  <si>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</si>
  <si>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</si>
  <si>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</si>
  <si>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</si>
  <si>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</si>
  <si>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</si>
  <si>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</si>
  <si>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</si>
  <si>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</si>
  <si>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</si>
  <si>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</si>
  <si>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</si>
  <si>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</si>
  <si>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</si>
  <si>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</si>
  <si>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</si>
  <si>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</si>
  <si>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</si>
  <si>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</si>
  <si>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</si>
  <si>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</si>
  <si>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</si>
  <si>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</si>
  <si>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</si>
  <si>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</si>
  <si>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</si>
  <si>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</si>
  <si>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</si>
  <si>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</si>
  <si>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</si>
  <si>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</si>
  <si>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</si>
  <si>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</si>
  <si>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</si>
  <si>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</si>
  <si>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</si>
  <si>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</si>
  <si>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</si>
  <si>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</si>
  <si>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</si>
  <si>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</si>
  <si>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</si>
  <si>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</si>
  <si>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</si>
  <si>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</si>
  <si>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</si>
  <si>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</si>
  <si>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</si>
  <si>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</si>
  <si>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</si>
  <si>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</si>
  <si>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</si>
  <si>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</si>
  <si>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</si>
  <si>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</si>
  <si>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</si>
  <si>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</si>
  <si>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</si>
  <si>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</si>
  <si>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</si>
  <si>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</si>
  <si>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</si>
  <si>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</si>
  <si>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</si>
  <si>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</si>
  <si>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</si>
  <si>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</si>
  <si>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</si>
  <si>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</si>
  <si>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</si>
  <si>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</si>
  <si>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</si>
  <si>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</si>
  <si>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</si>
  <si>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</si>
  <si>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</si>
  <si>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</si>
  <si>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</si>
  <si>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</si>
  <si>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</si>
  <si>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</si>
  <si>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</si>
  <si>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</si>
  <si>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</si>
  <si>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</si>
  <si>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</si>
  <si>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</si>
  <si>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</si>
  <si>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</si>
  <si>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</si>
  <si>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</si>
  <si>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</si>
  <si>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</si>
  <si>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</si>
  <si>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</si>
  <si>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</si>
  <si>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</si>
  <si>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</si>
  <si>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</si>
  <si>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</si>
  <si>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</si>
  <si>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</si>
  <si>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</si>
  <si>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</si>
  <si>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</si>
  <si>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</si>
  <si>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</si>
  <si>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</si>
  <si>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</si>
  <si>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</si>
  <si>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</si>
  <si>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</si>
  <si>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</si>
  <si>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</si>
  <si>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</si>
  <si>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</si>
  <si>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</si>
  <si>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</si>
  <si>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</si>
  <si>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</si>
  <si>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</si>
  <si>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</si>
  <si>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</si>
  <si>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</si>
  <si>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</si>
  <si>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</si>
  <si>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</si>
  <si>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</si>
  <si>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</si>
  <si>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</si>
  <si>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</si>
  <si>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</si>
  <si>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</si>
  <si>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</si>
  <si>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</si>
  <si>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</si>
  <si>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</si>
  <si>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</si>
  <si>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</si>
  <si>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</si>
  <si>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</si>
  <si>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</si>
  <si>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</si>
  <si>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</si>
  <si>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</si>
  <si>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</si>
  <si>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</si>
  <si>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</si>
  <si>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</si>
  <si>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</si>
  <si>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</si>
  <si>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</si>
  <si>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</si>
  <si>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</si>
  <si>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</si>
  <si>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</si>
  <si>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</si>
  <si>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</si>
  <si>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</si>
  <si>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</si>
  <si>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</si>
  <si>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</si>
  <si>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</si>
  <si>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</si>
  <si>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</si>
  <si>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</si>
  <si>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</si>
  <si>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</si>
  <si>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</si>
  <si>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</si>
  <si>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</si>
  <si>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</si>
  <si>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</si>
  <si>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</si>
  <si>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</si>
  <si>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</si>
  <si>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</si>
  <si>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</si>
  <si>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</si>
  <si>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</si>
  <si>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</si>
  <si>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</si>
  <si>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</si>
  <si>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</si>
  <si>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</si>
  <si>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</si>
  <si>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</si>
  <si>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</si>
  <si>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</si>
  <si>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</si>
  <si>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</si>
  <si>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</si>
  <si>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</si>
  <si>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</si>
  <si>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</si>
  <si>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</si>
  <si>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</si>
  <si>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</si>
  <si>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</si>
  <si>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</si>
  <si>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</si>
  <si>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</si>
  <si>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</si>
  <si>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</si>
  <si>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</si>
  <si>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</si>
  <si>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</si>
  <si>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</si>
  <si>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</si>
  <si>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</si>
  <si>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</si>
  <si>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</si>
  <si>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</si>
  <si>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</si>
  <si>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</si>
  <si>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</si>
  <si>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</si>
  <si>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</si>
  <si>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</si>
  <si>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</si>
  <si>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</si>
  <si>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</si>
  <si>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</si>
  <si>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</si>
  <si>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</si>
  <si>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</si>
  <si>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</si>
  <si>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</si>
  <si>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</si>
  <si>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</si>
  <si>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</si>
  <si>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</si>
  <si>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</si>
  <si>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</si>
  <si>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</si>
  <si>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</si>
  <si>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</si>
  <si>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</si>
  <si>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</si>
  <si>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</si>
  <si>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</si>
  <si>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</si>
  <si>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</si>
  <si>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</si>
  <si>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</si>
  <si>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</si>
  <si>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</si>
  <si>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</si>
  <si>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</si>
  <si>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</si>
  <si>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</si>
  <si>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</si>
  <si>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</si>
  <si>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</si>
  <si>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</si>
  <si>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</si>
  <si>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</si>
  <si>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</si>
  <si>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</si>
  <si>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</si>
  <si>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</si>
  <si>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</si>
  <si>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</si>
  <si>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</si>
  <si>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</si>
  <si>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</si>
  <si>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</si>
  <si>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</si>
  <si>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</si>
  <si>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</si>
  <si>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</si>
  <si>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</si>
  <si>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</si>
  <si>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</si>
  <si>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</si>
  <si>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</si>
  <si>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</si>
  <si>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</si>
  <si>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</si>
  <si>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</si>
  <si>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</si>
  <si>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</si>
  <si>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</si>
  <si>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</si>
  <si>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</si>
  <si>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</si>
  <si>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</si>
  <si>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</si>
  <si>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t>
  </si>
  <si>
    <t>Parcial</t>
  </si>
  <si>
    <t>Misma limitacion que la fila anterior: sin una senal fuera del iframe, confirmar de forma confiable un estado sin resultados es igual de fragil.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</si>
  <si>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</si>
  <si>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</si>
  <si>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</si>
  <si>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</si>
  <si>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</si>
  <si>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</si>
  <si>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</si>
  <si>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</si>
  <si>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</si>
  <si>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</si>
  <si>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</si>
  <si>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</si>
  <si>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Depende de destrabar la fila anterior (Solicitud de reintegro) para poder llegar a este paso del wizard.</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</si>
  <si>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</si>
  <si>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</si>
  <si>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</si>
  <si>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</si>
  <si>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</si>
  <si>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</si>
  <si>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</si>
  <si>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Pendiente de una cuenta con 2 o mas mascotas con credencial completa y sana -- la unica cuenta del pool con 2 planes disponible el 2026-08-30 mostro datos degradados (0 mascotas visibles, Planes y coberturas vacio) pese a que su propia nota decia que ambos planes estaban completados. Ver hallazgo de salud del pool en decision-log.md.</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</si>
  <si>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</si>
  <si>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</si>
  <si>
    <t>Usuario completa la carga de una credencial de mascota por primera vez.</t>
  </si>
  <si>
    <t>1. Completar el formulario de alta de mascota. 2. Llegar a la pantalla de felicitacion (credencial lista). 3. Observar si aparece alguna encuesta de satisfaccion.</t>
  </si>
  <si>
    <t>PROBADO EN VIVO 2026-08-30: se inspeccionaron los 19 bundles JS que carga la webapp. El unico codigo relacionado a survey es la libreria de terceros Hotjar; en el codigo propio de la app (_app) la unica llamada a window.hj es hj(identify) para analytics, sin ningun trigger custom atado a completar una credencial. Si esta encuesta existe, es config del dashboard de Hotjar (targeting por URL o tiempo), invisible al codigo y no deterministica. No es automatizable con Playwright de forma confiable.</t>
  </si>
  <si>
    <t>Cuenta con un plan/producto cuyo campo pathCondicionado no tenga PDF mapeado.</t>
  </si>
  <si>
    <t>1. Ir a Planes y coberturas con esa cuenta. 2. Expandir el plan. 3. Observar el comportamiento sin condicionado disponible.</t>
  </si>
  <si>
    <t>PROBADO EN VIVO 2026-08-30: se confirmo que pathCondicionado es un campo real devuelto por el backend (GET plans engage por dni) -- el escenario es tecnicamente posible. Se intento escanear las 5 cuentas con storageState cacheado pegandole directo a la API (APIRequestContext), pero devolvio 401 en las 5: esa API usa un bearer token de localStorage que solo se adjunta con un navegador real, no replicable solo con cookies. Encontrar una cuenta real con este dato faltante necesitaria loguearse una por una (unas 24 cuentas) sin garantia de exito, o que dev/PO indique que producto/grupo especifico lo tiene. Ademas comparte el mismo bloqueo de popup+PDF ya documentado sin resolver en el caso base (CP-01/CP-02 de esta misma seccion).</t>
  </si>
  <si>
    <t>PROBADO EN VIVO 2026-08-30 con 3 cuentas distintas en total. La llamada que falla es GET reintegros mascotas, 400 codigo VAL-002 Holder document must be a 7 or 8 digit DNI -- confirmado que es el mismo bug ya reportado en docs/bugs/BUG-007, Jira IMAS-4279, estado En Progreso (Mariana Navarro). No es un misterio nuevo: es un bug de backend ya trackeado que bloquea el wizard para toda cuenta cuyo DNI no tenga 7-8 digitos. Automatizacion queda pendiente de que se resuelva IMAS-4279, no de mas investigacion propia.</t>
  </si>
  <si>
    <t>TS-06 Beneficios - Banner Cooper (IMAS-4356/IMAS-4435)</t>
  </si>
  <si>
    <t>Banner Cooper visible en Home - Vetify B2C</t>
  </si>
  <si>
    <t>Usuario Vetify B2C logueado.</t>
  </si>
  <si>
    <t>1. Cargar Home.</t>
  </si>
  <si>
    <t>El banner Ir a Cooper es visible (Beneficio exclusivo clientes Vetify, 20% off primer servicio). Verificado en Desktop y Mobile (Android).</t>
  </si>
  <si>
    <t>Banner Cooper visible en Home - OSDE Capitado</t>
  </si>
  <si>
    <t>Usuario OSDE Capitado logueado.</t>
  </si>
  <si>
    <t>El banner Ir a Cooper es visible. Verificado en Desktop y Mobile (Android).</t>
  </si>
  <si>
    <t>Banner Cooper visible en Home - OSDE Adquirente</t>
  </si>
  <si>
    <t>Usuario OSDE Adquirente logueado.</t>
  </si>
  <si>
    <t>El banner Ir a Cooper es visible (IMAS-4465, confirmado corregido). Verificado en Desktop y Mobile (Android), con 3 cuentas distintas incluida una de compra real.</t>
  </si>
  <si>
    <t>Menu Beneficios - Vetify B2C ve Cooper y Vetify PLUS</t>
  </si>
  <si>
    <t>1. Cargar Home y abrir el menu lateral.</t>
  </si>
  <si>
    <t>La seccion Beneficios muestra Cooper y Vetify PLUS juntos. Verificado en Desktop y Mobile (Android).</t>
  </si>
  <si>
    <t>Menu Beneficios - OSDE Capitado NO ve Vetify PLUS</t>
  </si>
  <si>
    <t>El item Vetify PLUS no aparece (IMAS-4463, confirmado corregido). Verificado en Desktop y Mobile (Android).</t>
  </si>
  <si>
    <t>Menu Beneficios - OSDE Capitado ve Cooper</t>
  </si>
  <si>
    <t>El item Cooper es visible dentro de Beneficios. Verificado en Desktop y Mobile (Android). Nota: el menu de OSDE Adquirente depende del producto real (policyId) de la cuenta, no del segmento -- no automatizado con una asercion fija a proposito, ver docs/conocimiento-sistema.md.</t>
  </si>
  <si>
    <t>TS-06 Estado del plan (IMAS-4408)</t>
  </si>
  <si>
    <t>Cuenta cuyo unico plan no esta operable no muestra ninguna credencial ni permite operar</t>
  </si>
  <si>
    <t>Usuario cuyo unico plan paso a Inactivo (falta de pago) o fue Dado de baja definitivamente.</t>
  </si>
  <si>
    <t>1. Cargar Home, Mascotas, Planes y coberturas. 2. Intentar agendar videollamada. 3. Intentar iniciar un reintegro nuevo.</t>
  </si>
  <si>
    <t>Ninguna pantalla muestra credencial ni permite operar (Home vacio, Mascotas sin tarjetas, Planes No hay planes por el momento, Videollamada bloquea con Completa su credencial, Reintegros No hay mascotas registradas). Login sigue funcionando con normalidad. Simulado con mock de red (page.route) sobre pets/my-products y reintegros/mascotas, sin depender de una cuenta real con este estado (IMP-015: no hay self-service para conseguirla, escalado a Oscar 2026-08-31, respuesta no por ahora).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</si>
</sst>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52" t="s">
        <v>0</v>
      </c>
      <c r="D3" s="53"/>
      <c r="E3" s="53"/>
      <c r="F3" s="53"/>
      <c r="G3" s="53"/>
      <c r="H3" s="54"/>
      <c r="K3" s="52" t="s">
        <v>1</v>
      </c>
      <c r="L3" s="53"/>
      <c r="M3" s="53"/>
      <c r="N3" s="53"/>
      <c r="O3" s="53"/>
      <c r="P3" s="54"/>
      <c r="S3" s="52" t="s">
        <v>2</v>
      </c>
      <c r="T3" s="53"/>
      <c r="U3" s="53"/>
      <c r="V3" s="53"/>
      <c r="W3" s="53"/>
      <c r="X3" s="54"/>
    </row>
    <row r="4" spans="3:24">
      <c r="C4" s="48"/>
      <c r="D4" s="46"/>
      <c r="E4" s="46"/>
      <c r="F4" s="46"/>
      <c r="G4" s="46"/>
      <c r="H4" s="47"/>
      <c r="K4" s="48"/>
      <c r="L4" s="46"/>
      <c r="M4" s="46"/>
      <c r="N4" s="46"/>
      <c r="O4" s="46"/>
      <c r="P4" s="47"/>
      <c r="S4" s="48"/>
      <c r="T4" s="46"/>
      <c r="U4" s="46"/>
      <c r="V4" s="46"/>
      <c r="W4" s="46"/>
      <c r="X4" s="47"/>
    </row>
    <row r="5" spans="3:24" ht="15.75" customHeight="1">
      <c r="C5" s="45">
        <f>COUNTA('Flujo de Compra'!C3:C496,'Gestión de Usuario'!C3:C357,Perfil!C3:C199,Credenciales!C3:C199,Videollamadas!C3:C199,Reintegros!C2:C199,Misceláneas!C2:C199,'Control de Acceso'!C2:C199,'Sistema Caído'!C2:C199,'Funcionalidades Pendientes'!C2:C199)</f>
        <v>309</v>
      </c>
      <c r="D5" s="46"/>
      <c r="E5" s="46"/>
      <c r="F5" s="46"/>
      <c r="G5" s="46"/>
      <c r="H5" s="47"/>
      <c r="K5" s="45">
        <f>COUNTIF('Flujo de Compra'!H:H,"Si")+COUNTIF('Gestión de Usuario'!H:H,"Si")+COUNTIF(Perfil!H:H,"Si")+COUNTIF(Credenciales!H:H,"Si")+COUNTIF(Videollamadas!H:H,"Si")+COUNTIF(Reintegros!H:H,"Si")+COUNTIF(Misceláneas!H:H,"Si")+COUNTIF('Control de Acceso'!H:H,"Si")+COUNTIF('Sistema Caído'!H:H,"Si")+COUNTIF('Funcionalidades Pendientes'!H:H,"Si")</f>
        <v>229</v>
      </c>
      <c r="L5" s="46"/>
      <c r="M5" s="46"/>
      <c r="N5" s="46"/>
      <c r="O5" s="46"/>
      <c r="P5" s="47"/>
      <c r="S5" s="56">
        <f>K5/C5</f>
        <v>0.74110032362459544</v>
      </c>
      <c r="T5" s="46"/>
      <c r="U5" s="46"/>
      <c r="V5" s="46"/>
      <c r="W5" s="46"/>
      <c r="X5" s="47"/>
    </row>
    <row r="6" spans="3:24">
      <c r="C6" s="48"/>
      <c r="D6" s="46"/>
      <c r="E6" s="46"/>
      <c r="F6" s="46"/>
      <c r="G6" s="46"/>
      <c r="H6" s="47"/>
      <c r="K6" s="48"/>
      <c r="L6" s="46"/>
      <c r="M6" s="46"/>
      <c r="N6" s="46"/>
      <c r="O6" s="46"/>
      <c r="P6" s="47"/>
      <c r="S6" s="48"/>
      <c r="T6" s="46"/>
      <c r="U6" s="46"/>
      <c r="V6" s="46"/>
      <c r="W6" s="46"/>
      <c r="X6" s="47"/>
    </row>
    <row r="7" spans="3:24">
      <c r="C7" s="48"/>
      <c r="D7" s="46"/>
      <c r="E7" s="46"/>
      <c r="F7" s="46"/>
      <c r="G7" s="46"/>
      <c r="H7" s="47"/>
      <c r="K7" s="48"/>
      <c r="L7" s="46"/>
      <c r="M7" s="46"/>
      <c r="N7" s="46"/>
      <c r="O7" s="46"/>
      <c r="P7" s="47"/>
      <c r="S7" s="48"/>
      <c r="T7" s="46"/>
      <c r="U7" s="46"/>
      <c r="V7" s="46"/>
      <c r="W7" s="46"/>
      <c r="X7" s="47"/>
    </row>
    <row r="8" spans="3:24">
      <c r="C8" s="48"/>
      <c r="D8" s="46"/>
      <c r="E8" s="46"/>
      <c r="F8" s="46"/>
      <c r="G8" s="46"/>
      <c r="H8" s="47"/>
      <c r="K8" s="48"/>
      <c r="L8" s="46"/>
      <c r="M8" s="46"/>
      <c r="N8" s="46"/>
      <c r="O8" s="46"/>
      <c r="P8" s="47"/>
      <c r="S8" s="48"/>
      <c r="T8" s="46"/>
      <c r="U8" s="46"/>
      <c r="V8" s="46"/>
      <c r="W8" s="46"/>
      <c r="X8" s="47"/>
    </row>
    <row r="9" spans="3:24">
      <c r="C9" s="48"/>
      <c r="D9" s="46"/>
      <c r="E9" s="46"/>
      <c r="F9" s="46"/>
      <c r="G9" s="46"/>
      <c r="H9" s="47"/>
      <c r="K9" s="48"/>
      <c r="L9" s="46"/>
      <c r="M9" s="46"/>
      <c r="N9" s="46"/>
      <c r="O9" s="46"/>
      <c r="P9" s="47"/>
      <c r="S9" s="48"/>
      <c r="T9" s="46"/>
      <c r="U9" s="46"/>
      <c r="V9" s="46"/>
      <c r="W9" s="46"/>
      <c r="X9" s="47"/>
    </row>
    <row r="10" spans="3:24">
      <c r="C10" s="48"/>
      <c r="D10" s="46"/>
      <c r="E10" s="46"/>
      <c r="F10" s="46"/>
      <c r="G10" s="46"/>
      <c r="H10" s="47"/>
      <c r="K10" s="48"/>
      <c r="L10" s="46"/>
      <c r="M10" s="46"/>
      <c r="N10" s="46"/>
      <c r="O10" s="46"/>
      <c r="P10" s="47"/>
      <c r="S10" s="48"/>
      <c r="T10" s="46"/>
      <c r="U10" s="46"/>
      <c r="V10" s="46"/>
      <c r="W10" s="46"/>
      <c r="X10" s="47"/>
    </row>
    <row r="11" spans="3:24">
      <c r="C11" s="48"/>
      <c r="D11" s="46"/>
      <c r="E11" s="46"/>
      <c r="F11" s="46"/>
      <c r="G11" s="46"/>
      <c r="H11" s="47"/>
      <c r="K11" s="48"/>
      <c r="L11" s="46"/>
      <c r="M11" s="46"/>
      <c r="N11" s="46"/>
      <c r="O11" s="46"/>
      <c r="P11" s="47"/>
      <c r="S11" s="48"/>
      <c r="T11" s="46"/>
      <c r="U11" s="46"/>
      <c r="V11" s="46"/>
      <c r="W11" s="46"/>
      <c r="X11" s="47"/>
    </row>
    <row r="12" spans="3:24">
      <c r="C12" s="48"/>
      <c r="D12" s="46"/>
      <c r="E12" s="46"/>
      <c r="F12" s="46"/>
      <c r="G12" s="46"/>
      <c r="H12" s="47"/>
      <c r="K12" s="48"/>
      <c r="L12" s="46"/>
      <c r="M12" s="46"/>
      <c r="N12" s="46"/>
      <c r="O12" s="46"/>
      <c r="P12" s="47"/>
      <c r="S12" s="48"/>
      <c r="T12" s="46"/>
      <c r="U12" s="46"/>
      <c r="V12" s="46"/>
      <c r="W12" s="46"/>
      <c r="X12" s="47"/>
    </row>
    <row r="13" spans="3:24">
      <c r="C13" s="48"/>
      <c r="D13" s="46"/>
      <c r="E13" s="46"/>
      <c r="F13" s="46"/>
      <c r="G13" s="46"/>
      <c r="H13" s="47"/>
      <c r="K13" s="48"/>
      <c r="L13" s="46"/>
      <c r="M13" s="46"/>
      <c r="N13" s="46"/>
      <c r="O13" s="46"/>
      <c r="P13" s="47"/>
      <c r="S13" s="48"/>
      <c r="T13" s="46"/>
      <c r="U13" s="46"/>
      <c r="V13" s="46"/>
      <c r="W13" s="46"/>
      <c r="X13" s="47"/>
    </row>
    <row r="14" spans="3:24">
      <c r="C14" s="48"/>
      <c r="D14" s="46"/>
      <c r="E14" s="46"/>
      <c r="F14" s="46"/>
      <c r="G14" s="46"/>
      <c r="H14" s="47"/>
      <c r="K14" s="48"/>
      <c r="L14" s="46"/>
      <c r="M14" s="46"/>
      <c r="N14" s="46"/>
      <c r="O14" s="46"/>
      <c r="P14" s="47"/>
      <c r="S14" s="48"/>
      <c r="T14" s="46"/>
      <c r="U14" s="46"/>
      <c r="V14" s="46"/>
      <c r="W14" s="46"/>
      <c r="X14" s="47"/>
    </row>
    <row r="15" spans="3:24">
      <c r="C15" s="48"/>
      <c r="D15" s="46"/>
      <c r="E15" s="46"/>
      <c r="F15" s="46"/>
      <c r="G15" s="46"/>
      <c r="H15" s="47"/>
      <c r="K15" s="48"/>
      <c r="L15" s="46"/>
      <c r="M15" s="46"/>
      <c r="N15" s="46"/>
      <c r="O15" s="46"/>
      <c r="P15" s="47"/>
      <c r="S15" s="48"/>
      <c r="T15" s="46"/>
      <c r="U15" s="46"/>
      <c r="V15" s="46"/>
      <c r="W15" s="46"/>
      <c r="X15" s="47"/>
    </row>
    <row r="16" spans="3:24">
      <c r="C16" s="48"/>
      <c r="D16" s="46"/>
      <c r="E16" s="46"/>
      <c r="F16" s="46"/>
      <c r="G16" s="46"/>
      <c r="H16" s="47"/>
      <c r="K16" s="48"/>
      <c r="L16" s="46"/>
      <c r="M16" s="46"/>
      <c r="N16" s="46"/>
      <c r="O16" s="46"/>
      <c r="P16" s="47"/>
      <c r="S16" s="48"/>
      <c r="T16" s="46"/>
      <c r="U16" s="46"/>
      <c r="V16" s="46"/>
      <c r="W16" s="46"/>
      <c r="X16" s="47"/>
    </row>
    <row r="17" spans="3:24">
      <c r="C17" s="48"/>
      <c r="D17" s="46"/>
      <c r="E17" s="46"/>
      <c r="F17" s="46"/>
      <c r="G17" s="46"/>
      <c r="H17" s="47"/>
      <c r="K17" s="48"/>
      <c r="L17" s="46"/>
      <c r="M17" s="46"/>
      <c r="N17" s="46"/>
      <c r="O17" s="46"/>
      <c r="P17" s="47"/>
      <c r="S17" s="48"/>
      <c r="T17" s="46"/>
      <c r="U17" s="46"/>
      <c r="V17" s="46"/>
      <c r="W17" s="46"/>
      <c r="X17" s="47"/>
    </row>
    <row r="18" spans="3:24">
      <c r="C18" s="48"/>
      <c r="D18" s="46"/>
      <c r="E18" s="46"/>
      <c r="F18" s="46"/>
      <c r="G18" s="46"/>
      <c r="H18" s="47"/>
      <c r="K18" s="48"/>
      <c r="L18" s="46"/>
      <c r="M18" s="46"/>
      <c r="N18" s="46"/>
      <c r="O18" s="46"/>
      <c r="P18" s="47"/>
      <c r="S18" s="48"/>
      <c r="T18" s="46"/>
      <c r="U18" s="46"/>
      <c r="V18" s="46"/>
      <c r="W18" s="46"/>
      <c r="X18" s="47"/>
    </row>
    <row r="19" spans="3:24" ht="15.75" customHeight="1">
      <c r="C19" s="49"/>
      <c r="D19" s="50"/>
      <c r="E19" s="50"/>
      <c r="F19" s="50"/>
      <c r="G19" s="50"/>
      <c r="H19" s="51"/>
      <c r="K19" s="49"/>
      <c r="L19" s="50"/>
      <c r="M19" s="50"/>
      <c r="N19" s="50"/>
      <c r="O19" s="50"/>
      <c r="P19" s="51"/>
      <c r="S19" s="49"/>
      <c r="T19" s="50"/>
      <c r="U19" s="50"/>
      <c r="V19" s="50"/>
      <c r="W19" s="50"/>
      <c r="X19" s="51"/>
    </row>
    <row r="22" spans="3:24" ht="15.75" customHeight="1"/>
    <row r="23" spans="3:24">
      <c r="C23" s="52" t="s">
        <v>3</v>
      </c>
      <c r="D23" s="53"/>
      <c r="E23" s="53"/>
      <c r="F23" s="53"/>
      <c r="G23" s="53"/>
      <c r="H23" s="54"/>
      <c r="K23" s="52" t="s">
        <v>4</v>
      </c>
      <c r="L23" s="53"/>
      <c r="M23" s="53"/>
      <c r="N23" s="53"/>
      <c r="O23" s="53"/>
      <c r="P23" s="54"/>
      <c r="S23" s="52" t="s">
        <v>2</v>
      </c>
      <c r="T23" s="53"/>
      <c r="U23" s="53"/>
      <c r="V23" s="53"/>
      <c r="W23" s="53"/>
      <c r="X23" s="54"/>
    </row>
    <row r="24" spans="3:24">
      <c r="C24" s="48"/>
      <c r="D24" s="46"/>
      <c r="E24" s="46"/>
      <c r="F24" s="46"/>
      <c r="G24" s="46"/>
      <c r="H24" s="47"/>
      <c r="K24" s="48"/>
      <c r="L24" s="46"/>
      <c r="M24" s="46"/>
      <c r="N24" s="46"/>
      <c r="O24" s="46"/>
      <c r="P24" s="47"/>
      <c r="S24" s="48"/>
      <c r="T24" s="46"/>
      <c r="U24" s="46"/>
      <c r="V24" s="46"/>
      <c r="W24" s="46"/>
      <c r="X24" s="47"/>
    </row>
    <row r="25" spans="3:24" ht="15.75" customHeight="1">
      <c r="C25" s="45">
        <f>COUNTIF('Flujo de Compra'!G:G,"Si")+COUNTIF('Gestión de Usuario'!G:G,"Si")+COUNTIF(Perfil!G:G,"Si")+COUNTIF(Credenciales!G:G,"Si")+COUNTIF(Videollamadas!G:G,"Si")+COUNTIF(Reintegros!G:G,"Si")+COUNTIF(Misceláneas!G:G,"Si")+COUNTIF('Control de Acceso'!G:G,"Si")+COUNTIF('Sistema Caído'!G:G,"Si")+COUNTIF('Funcionalidades Pendientes'!G:G,"Si")</f>
        <v>173</v>
      </c>
      <c r="D25" s="46"/>
      <c r="E25" s="46"/>
      <c r="F25" s="46"/>
      <c r="G25" s="46"/>
      <c r="H25" s="47"/>
      <c r="K25" s="45">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139</v>
      </c>
      <c r="L25" s="46"/>
      <c r="M25" s="46"/>
      <c r="N25" s="46"/>
      <c r="O25" s="46"/>
      <c r="P25" s="47"/>
      <c r="S25" s="56">
        <f>K25/C25</f>
        <v>0.80346820809248554</v>
      </c>
      <c r="T25" s="46"/>
      <c r="U25" s="46"/>
      <c r="V25" s="46"/>
      <c r="W25" s="46"/>
      <c r="X25" s="47"/>
    </row>
    <row r="26" spans="3:24">
      <c r="C26" s="48"/>
      <c r="D26" s="46"/>
      <c r="E26" s="46"/>
      <c r="F26" s="46"/>
      <c r="G26" s="46"/>
      <c r="H26" s="47"/>
      <c r="K26" s="48"/>
      <c r="L26" s="46"/>
      <c r="M26" s="46"/>
      <c r="N26" s="46"/>
      <c r="O26" s="46"/>
      <c r="P26" s="47"/>
      <c r="S26" s="48"/>
      <c r="T26" s="46"/>
      <c r="U26" s="46"/>
      <c r="V26" s="46"/>
      <c r="W26" s="46"/>
      <c r="X26" s="47"/>
    </row>
    <row r="27" spans="3:24">
      <c r="C27" s="48"/>
      <c r="D27" s="46"/>
      <c r="E27" s="46"/>
      <c r="F27" s="46"/>
      <c r="G27" s="46"/>
      <c r="H27" s="47"/>
      <c r="K27" s="48"/>
      <c r="L27" s="46"/>
      <c r="M27" s="46"/>
      <c r="N27" s="46"/>
      <c r="O27" s="46"/>
      <c r="P27" s="47"/>
      <c r="S27" s="48"/>
      <c r="T27" s="46"/>
      <c r="U27" s="46"/>
      <c r="V27" s="46"/>
      <c r="W27" s="46"/>
      <c r="X27" s="47"/>
    </row>
    <row r="28" spans="3:24">
      <c r="C28" s="48"/>
      <c r="D28" s="46"/>
      <c r="E28" s="46"/>
      <c r="F28" s="46"/>
      <c r="G28" s="46"/>
      <c r="H28" s="47"/>
      <c r="K28" s="48"/>
      <c r="L28" s="46"/>
      <c r="M28" s="46"/>
      <c r="N28" s="46"/>
      <c r="O28" s="46"/>
      <c r="P28" s="47"/>
      <c r="S28" s="48"/>
      <c r="T28" s="46"/>
      <c r="U28" s="46"/>
      <c r="V28" s="46"/>
      <c r="W28" s="46"/>
      <c r="X28" s="47"/>
    </row>
    <row r="29" spans="3:24">
      <c r="C29" s="48"/>
      <c r="D29" s="46"/>
      <c r="E29" s="46"/>
      <c r="F29" s="46"/>
      <c r="G29" s="46"/>
      <c r="H29" s="47"/>
      <c r="K29" s="48"/>
      <c r="L29" s="46"/>
      <c r="M29" s="46"/>
      <c r="N29" s="46"/>
      <c r="O29" s="46"/>
      <c r="P29" s="47"/>
      <c r="S29" s="48"/>
      <c r="T29" s="46"/>
      <c r="U29" s="46"/>
      <c r="V29" s="46"/>
      <c r="W29" s="46"/>
      <c r="X29" s="47"/>
    </row>
    <row r="30" spans="3:24">
      <c r="C30" s="48"/>
      <c r="D30" s="46"/>
      <c r="E30" s="46"/>
      <c r="F30" s="46"/>
      <c r="G30" s="46"/>
      <c r="H30" s="47"/>
      <c r="K30" s="48"/>
      <c r="L30" s="46"/>
      <c r="M30" s="46"/>
      <c r="N30" s="46"/>
      <c r="O30" s="46"/>
      <c r="P30" s="47"/>
      <c r="S30" s="48"/>
      <c r="T30" s="46"/>
      <c r="U30" s="46"/>
      <c r="V30" s="46"/>
      <c r="W30" s="46"/>
      <c r="X30" s="47"/>
    </row>
    <row r="31" spans="3:24">
      <c r="C31" s="48"/>
      <c r="D31" s="46"/>
      <c r="E31" s="46"/>
      <c r="F31" s="46"/>
      <c r="G31" s="46"/>
      <c r="H31" s="47"/>
      <c r="K31" s="48"/>
      <c r="L31" s="46"/>
      <c r="M31" s="46"/>
      <c r="N31" s="46"/>
      <c r="O31" s="46"/>
      <c r="P31" s="47"/>
      <c r="S31" s="48"/>
      <c r="T31" s="46"/>
      <c r="U31" s="46"/>
      <c r="V31" s="46"/>
      <c r="W31" s="46"/>
      <c r="X31" s="47"/>
    </row>
    <row r="32" spans="3:24">
      <c r="C32" s="48"/>
      <c r="D32" s="46"/>
      <c r="E32" s="46"/>
      <c r="F32" s="46"/>
      <c r="G32" s="46"/>
      <c r="H32" s="47"/>
      <c r="K32" s="48"/>
      <c r="L32" s="46"/>
      <c r="M32" s="46"/>
      <c r="N32" s="46"/>
      <c r="O32" s="46"/>
      <c r="P32" s="47"/>
      <c r="S32" s="48"/>
      <c r="T32" s="46"/>
      <c r="U32" s="46"/>
      <c r="V32" s="46"/>
      <c r="W32" s="46"/>
      <c r="X32" s="47"/>
    </row>
    <row r="33" spans="3:24">
      <c r="C33" s="48"/>
      <c r="D33" s="46"/>
      <c r="E33" s="46"/>
      <c r="F33" s="46"/>
      <c r="G33" s="46"/>
      <c r="H33" s="47"/>
      <c r="K33" s="48"/>
      <c r="L33" s="46"/>
      <c r="M33" s="46"/>
      <c r="N33" s="46"/>
      <c r="O33" s="46"/>
      <c r="P33" s="47"/>
      <c r="S33" s="48"/>
      <c r="T33" s="46"/>
      <c r="U33" s="46"/>
      <c r="V33" s="46"/>
      <c r="W33" s="46"/>
      <c r="X33" s="47"/>
    </row>
    <row r="34" spans="3:24">
      <c r="C34" s="48"/>
      <c r="D34" s="46"/>
      <c r="E34" s="46"/>
      <c r="F34" s="46"/>
      <c r="G34" s="46"/>
      <c r="H34" s="47"/>
      <c r="K34" s="48"/>
      <c r="L34" s="46"/>
      <c r="M34" s="46"/>
      <c r="N34" s="46"/>
      <c r="O34" s="46"/>
      <c r="P34" s="47"/>
      <c r="S34" s="48"/>
      <c r="T34" s="46"/>
      <c r="U34" s="46"/>
      <c r="V34" s="46"/>
      <c r="W34" s="46"/>
      <c r="X34" s="47"/>
    </row>
    <row r="35" spans="3:24">
      <c r="C35" s="48"/>
      <c r="D35" s="46"/>
      <c r="E35" s="46"/>
      <c r="F35" s="46"/>
      <c r="G35" s="46"/>
      <c r="H35" s="47"/>
      <c r="K35" s="48"/>
      <c r="L35" s="46"/>
      <c r="M35" s="46"/>
      <c r="N35" s="46"/>
      <c r="O35" s="46"/>
      <c r="P35" s="47"/>
      <c r="S35" s="48"/>
      <c r="T35" s="46"/>
      <c r="U35" s="46"/>
      <c r="V35" s="46"/>
      <c r="W35" s="46"/>
      <c r="X35" s="47"/>
    </row>
    <row r="36" spans="3:24">
      <c r="C36" s="48"/>
      <c r="D36" s="46"/>
      <c r="E36" s="46"/>
      <c r="F36" s="46"/>
      <c r="G36" s="46"/>
      <c r="H36" s="47"/>
      <c r="K36" s="48"/>
      <c r="L36" s="46"/>
      <c r="M36" s="46"/>
      <c r="N36" s="46"/>
      <c r="O36" s="46"/>
      <c r="P36" s="47"/>
      <c r="S36" s="48"/>
      <c r="T36" s="46"/>
      <c r="U36" s="46"/>
      <c r="V36" s="46"/>
      <c r="W36" s="46"/>
      <c r="X36" s="47"/>
    </row>
    <row r="37" spans="3:24">
      <c r="C37" s="48"/>
      <c r="D37" s="46"/>
      <c r="E37" s="46"/>
      <c r="F37" s="46"/>
      <c r="G37" s="46"/>
      <c r="H37" s="47"/>
      <c r="K37" s="48"/>
      <c r="L37" s="46"/>
      <c r="M37" s="46"/>
      <c r="N37" s="46"/>
      <c r="O37" s="46"/>
      <c r="P37" s="47"/>
      <c r="S37" s="48"/>
      <c r="T37" s="46"/>
      <c r="U37" s="46"/>
      <c r="V37" s="46"/>
      <c r="W37" s="46"/>
      <c r="X37" s="47"/>
    </row>
    <row r="38" spans="3:24">
      <c r="C38" s="48"/>
      <c r="D38" s="46"/>
      <c r="E38" s="46"/>
      <c r="F38" s="46"/>
      <c r="G38" s="46"/>
      <c r="H38" s="47"/>
      <c r="K38" s="48"/>
      <c r="L38" s="46"/>
      <c r="M38" s="46"/>
      <c r="N38" s="46"/>
      <c r="O38" s="46"/>
      <c r="P38" s="47"/>
      <c r="S38" s="48"/>
      <c r="T38" s="46"/>
      <c r="U38" s="46"/>
      <c r="V38" s="46"/>
      <c r="W38" s="46"/>
      <c r="X38" s="47"/>
    </row>
    <row r="39" spans="3:24" ht="15.75" customHeight="1">
      <c r="C39" s="49"/>
      <c r="D39" s="50"/>
      <c r="E39" s="50"/>
      <c r="F39" s="50"/>
      <c r="G39" s="50"/>
      <c r="H39" s="51"/>
      <c r="K39" s="49"/>
      <c r="L39" s="50"/>
      <c r="M39" s="50"/>
      <c r="N39" s="50"/>
      <c r="O39" s="50"/>
      <c r="P39" s="51"/>
      <c r="S39" s="49"/>
      <c r="T39" s="50"/>
      <c r="U39" s="50"/>
      <c r="V39" s="50"/>
      <c r="W39" s="50"/>
      <c r="X39" s="51"/>
    </row>
    <row r="41" spans="3:24" ht="15.75" customHeight="1"/>
    <row r="42" spans="3:24">
      <c r="C42" s="52" t="s">
        <v>5</v>
      </c>
      <c r="D42" s="53"/>
      <c r="E42" s="53"/>
      <c r="F42" s="53"/>
      <c r="G42" s="53"/>
      <c r="H42" s="54"/>
    </row>
    <row r="43" spans="3:24">
      <c r="C43" s="48"/>
      <c r="D43" s="46"/>
      <c r="E43" s="46"/>
      <c r="F43" s="46"/>
      <c r="G43" s="46"/>
      <c r="H43" s="47"/>
      <c r="K43" s="28"/>
      <c r="L43" s="28"/>
      <c r="M43" s="28"/>
      <c r="N43" s="28"/>
      <c r="O43" s="28"/>
      <c r="P43" s="28"/>
    </row>
    <row r="44" spans="3:24" ht="21" customHeight="1">
      <c r="C44" s="56">
        <f>C25/C5</f>
        <v>0.55987055016181231</v>
      </c>
      <c r="D44" s="46"/>
      <c r="E44" s="46"/>
      <c r="F44" s="46"/>
      <c r="G44" s="46"/>
      <c r="H44" s="47"/>
      <c r="K44" s="28"/>
      <c r="L44" s="55" t="s">
        <v>6</v>
      </c>
      <c r="M44" s="46"/>
      <c r="N44" s="46"/>
      <c r="O44" s="46"/>
      <c r="P44" s="29"/>
    </row>
    <row r="45" spans="3:24">
      <c r="C45" s="48"/>
      <c r="D45" s="46"/>
      <c r="E45" s="46"/>
      <c r="F45" s="46"/>
      <c r="G45" s="46"/>
      <c r="H45" s="47"/>
      <c r="K45" s="28"/>
      <c r="L45" s="30"/>
      <c r="M45" s="30"/>
      <c r="N45" s="30"/>
      <c r="O45" s="30"/>
      <c r="P45" s="29"/>
    </row>
    <row r="46" spans="3:24">
      <c r="C46" s="48"/>
      <c r="D46" s="46"/>
      <c r="E46" s="46"/>
      <c r="F46" s="46"/>
      <c r="G46" s="46"/>
      <c r="H46" s="47"/>
      <c r="K46" s="28"/>
      <c r="L46" s="31"/>
      <c r="M46" s="28" t="s">
        <v>7</v>
      </c>
      <c r="N46" s="28"/>
      <c r="O46" s="28"/>
      <c r="P46" s="28"/>
    </row>
    <row r="47" spans="3:24">
      <c r="C47" s="48"/>
      <c r="D47" s="46"/>
      <c r="E47" s="46"/>
      <c r="F47" s="46"/>
      <c r="G47" s="46"/>
      <c r="H47" s="47"/>
      <c r="K47" s="28"/>
      <c r="L47" s="32"/>
      <c r="M47" s="28" t="s">
        <v>8</v>
      </c>
      <c r="N47" s="28"/>
      <c r="O47" s="28"/>
      <c r="P47" s="28"/>
    </row>
    <row r="48" spans="3:24">
      <c r="C48" s="48"/>
      <c r="D48" s="46"/>
      <c r="E48" s="46"/>
      <c r="F48" s="46"/>
      <c r="G48" s="46"/>
      <c r="H48" s="47"/>
      <c r="K48" s="28"/>
      <c r="L48" s="33"/>
      <c r="M48" s="28" t="s">
        <v>9</v>
      </c>
      <c r="N48" s="28"/>
      <c r="O48" s="28"/>
      <c r="P48" s="28"/>
    </row>
    <row r="49" spans="3:16">
      <c r="C49" s="48"/>
      <c r="D49" s="46"/>
      <c r="E49" s="46"/>
      <c r="F49" s="46"/>
      <c r="G49" s="46"/>
      <c r="H49" s="47"/>
      <c r="K49" s="28"/>
      <c r="L49" s="34"/>
      <c r="M49" s="28" t="s">
        <v>10</v>
      </c>
      <c r="N49" s="28"/>
      <c r="O49" s="28"/>
      <c r="P49" s="28"/>
    </row>
    <row r="50" spans="3:16">
      <c r="C50" s="48"/>
      <c r="D50" s="46"/>
      <c r="E50" s="46"/>
      <c r="F50" s="46"/>
      <c r="G50" s="46"/>
      <c r="H50" s="47"/>
      <c r="K50" s="28"/>
      <c r="L50" s="35"/>
      <c r="M50" s="28" t="s">
        <v>11</v>
      </c>
      <c r="N50" s="28"/>
      <c r="O50" s="28"/>
      <c r="P50" s="28"/>
    </row>
    <row r="51" spans="3:16">
      <c r="C51" s="48"/>
      <c r="D51" s="46"/>
      <c r="E51" s="46"/>
      <c r="F51" s="46"/>
      <c r="G51" s="46"/>
      <c r="H51" s="47"/>
      <c r="K51" s="28"/>
      <c r="L51" s="28"/>
      <c r="M51" s="28"/>
      <c r="N51" s="28"/>
      <c r="O51" s="28"/>
      <c r="P51" s="28"/>
    </row>
    <row r="52" spans="3:16">
      <c r="C52" s="48"/>
      <c r="D52" s="46"/>
      <c r="E52" s="46"/>
      <c r="F52" s="46"/>
      <c r="G52" s="46"/>
      <c r="H52" s="47"/>
    </row>
    <row r="53" spans="3:16">
      <c r="C53" s="48"/>
      <c r="D53" s="46"/>
      <c r="E53" s="46"/>
      <c r="F53" s="46"/>
      <c r="G53" s="46"/>
      <c r="H53" s="47"/>
    </row>
    <row r="54" spans="3:16">
      <c r="C54" s="48"/>
      <c r="D54" s="46"/>
      <c r="E54" s="46"/>
      <c r="F54" s="46"/>
      <c r="G54" s="46"/>
      <c r="H54" s="47"/>
    </row>
    <row r="55" spans="3:16">
      <c r="C55" s="48"/>
      <c r="D55" s="46"/>
      <c r="E55" s="46"/>
      <c r="F55" s="46"/>
      <c r="G55" s="46"/>
      <c r="H55" s="47"/>
    </row>
    <row r="56" spans="3:16">
      <c r="C56" s="48"/>
      <c r="D56" s="46"/>
      <c r="E56" s="46"/>
      <c r="F56" s="46"/>
      <c r="G56" s="46"/>
      <c r="H56" s="47"/>
    </row>
    <row r="57" spans="3:16">
      <c r="C57" s="48"/>
      <c r="D57" s="46"/>
      <c r="E57" s="46"/>
      <c r="F57" s="46"/>
      <c r="G57" s="46"/>
      <c r="H57" s="47"/>
    </row>
    <row r="58" spans="3:16" ht="15.75" customHeight="1">
      <c r="C58" s="49"/>
      <c r="D58" s="50"/>
      <c r="E58" s="50"/>
      <c r="F58" s="50"/>
      <c r="G58" s="50"/>
      <c r="H58" s="51"/>
    </row>
    <row r="62" spans="3:16">
      <c r="C62" s="42" t="s">
        <v>585</v>
      </c>
      <c r="D62" s="42"/>
      <c r="E62" s="42"/>
      <c r="F62" s="42"/>
      <c r="H62" s="42" t="s">
        <v>586</v>
      </c>
      <c r="I62" s="42"/>
      <c r="J62" s="42"/>
      <c r="K62" s="42"/>
      <c r="M62" s="42" t="s">
        <v>587</v>
      </c>
      <c r="N62" s="42"/>
      <c r="O62" s="42"/>
      <c r="P62" s="42"/>
    </row>
    <row r="63" spans="3:16">
      <c r="C63" s="42"/>
      <c r="D63" s="42"/>
      <c r="E63" s="42"/>
      <c r="F63" s="42"/>
      <c r="H63" s="42"/>
      <c r="I63" s="42"/>
      <c r="J63" s="42"/>
      <c r="K63" s="42"/>
      <c r="M63" s="42"/>
      <c r="N63" s="42"/>
      <c r="O63" s="42"/>
      <c r="P63" s="42"/>
    </row>
    <row r="64" spans="3:16">
      <c r="C64" s="43">
        <f>COUNTIF('Flujo de Compra'!I:I,"Si")+COUNTIF('Gestión de Usuario'!I:I,"Si")+COUNTIF(Perfil!J:J,"Si")+COUNTIF(Credenciales!J:J,"Si")+COUNTIF(Videollamadas!J:J,"Si")</f>
        <v>253</v>
      </c>
      <c r="D64" s="43"/>
      <c r="E64" s="43"/>
      <c r="F64" s="43"/>
      <c r="H64" s="43">
        <f>COUNTIF('Flujo de Compra'!H:H,"Si")+COUNTIF('Gestión de Usuario'!H:H,"Si")+COUNTIF(Perfil!H:H,"Si")+COUNTIF(Credenciales!H:H,"Si")+COUNTIF(Videollamadas!H:H,"Si")</f>
        <v>196</v>
      </c>
      <c r="I64" s="43"/>
      <c r="J64" s="43"/>
      <c r="K64" s="43"/>
      <c r="M64" s="44">
        <f t="shared" ref="M64" si="0">H64/C64</f>
        <v>0.77470355731225293</v>
      </c>
      <c r="N64" s="44"/>
      <c r="O64" s="44"/>
      <c r="P64" s="44"/>
    </row>
    <row r="65" spans="3:16">
      <c r="C65" s="43"/>
      <c r="D65" s="43"/>
      <c r="E65" s="43"/>
      <c r="F65" s="43"/>
      <c r="H65" s="43"/>
      <c r="I65" s="43"/>
      <c r="J65" s="43"/>
      <c r="K65" s="43"/>
      <c r="M65" s="44"/>
      <c r="N65" s="44"/>
      <c r="O65" s="44"/>
      <c r="P65" s="44"/>
    </row>
    <row r="66" spans="3:16">
      <c r="C66" s="43"/>
      <c r="D66" s="43"/>
      <c r="E66" s="43"/>
      <c r="F66" s="43"/>
      <c r="H66" s="43"/>
      <c r="I66" s="43"/>
      <c r="J66" s="43"/>
      <c r="K66" s="43"/>
      <c r="M66" s="44"/>
      <c r="N66" s="44"/>
      <c r="O66" s="44"/>
      <c r="P66" s="44"/>
    </row>
    <row r="69" spans="3:16">
      <c r="C69" s="42" t="s">
        <v>588</v>
      </c>
      <c r="D69" s="42"/>
      <c r="E69" s="42"/>
      <c r="F69" s="42"/>
      <c r="H69" s="42" t="s">
        <v>589</v>
      </c>
      <c r="I69" s="42"/>
      <c r="J69" s="42"/>
      <c r="K69" s="42"/>
      <c r="M69" s="42" t="s">
        <v>587</v>
      </c>
      <c r="N69" s="42"/>
      <c r="O69" s="42"/>
      <c r="P69" s="42"/>
    </row>
    <row r="70" spans="3:16">
      <c r="C70" s="42"/>
      <c r="D70" s="42"/>
      <c r="E70" s="42"/>
      <c r="F70" s="42"/>
      <c r="H70" s="42"/>
      <c r="I70" s="42"/>
      <c r="J70" s="42"/>
      <c r="K70" s="42"/>
      <c r="M70" s="42"/>
      <c r="N70" s="42"/>
      <c r="O70" s="42"/>
      <c r="P70" s="42"/>
    </row>
    <row r="71" spans="3:16">
      <c r="C71" s="43">
        <f>COUNTIF(Perfil!K:K,"Si")+COUNTIF(Credenciales!K:K,"Si")+COUNTIF(Videollamadas!K:K,"Si")</f>
        <v>74</v>
      </c>
      <c r="D71" s="43"/>
      <c r="E71" s="43"/>
      <c r="F71" s="43"/>
      <c r="H71" s="43">
        <f>COUNTIF(Perfil!I:I,"Si")+COUNTIF(Credenciales!I:I,"Si")+COUNTIF(Videollamadas!I:I,"Si")</f>
        <v>61</v>
      </c>
      <c r="I71" s="43"/>
      <c r="J71" s="43"/>
      <c r="K71" s="43"/>
      <c r="M71" s="44">
        <f t="shared" ref="M71" si="1">H71/C71</f>
        <v>0.82432432432432434</v>
      </c>
      <c r="N71" s="44"/>
      <c r="O71" s="44"/>
      <c r="P71" s="44"/>
    </row>
    <row r="72" spans="3:16">
      <c r="C72" s="43"/>
      <c r="D72" s="43"/>
      <c r="E72" s="43"/>
      <c r="F72" s="43"/>
      <c r="H72" s="43"/>
      <c r="I72" s="43"/>
      <c r="J72" s="43"/>
      <c r="K72" s="43"/>
      <c r="M72" s="44"/>
      <c r="N72" s="44"/>
      <c r="O72" s="44"/>
      <c r="P72" s="44"/>
    </row>
    <row r="73" spans="3:16">
      <c r="C73" s="43"/>
      <c r="D73" s="43"/>
      <c r="E73" s="43"/>
      <c r="F73" s="43"/>
      <c r="H73" s="43"/>
      <c r="I73" s="43"/>
      <c r="J73" s="43"/>
      <c r="K73" s="43"/>
      <c r="M73" s="44"/>
      <c r="N73" s="44"/>
      <c r="O73" s="44"/>
      <c r="P73" s="44"/>
    </row>
    <row r="76" spans="3:16">
      <c r="C76" s="36" t="s">
        <v>590</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60" t="s">
        <v>20</v>
      </c>
      <c r="B2" s="58"/>
      <c r="C2" s="58"/>
      <c r="D2" s="58"/>
      <c r="E2" s="58"/>
      <c r="F2" s="58"/>
      <c r="G2" s="58"/>
      <c r="H2" s="61"/>
      <c r="I2" s="12" t="s">
        <v>27</v>
      </c>
    </row>
    <row r="3" spans="1:9" ht="183" customHeight="1">
      <c r="A3" s="7" t="s">
        <v>21</v>
      </c>
      <c r="B3" s="59"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57"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59"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57"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59"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57"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59"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60" t="s">
        <v>127</v>
      </c>
      <c r="B40" s="58"/>
      <c r="C40" s="58"/>
      <c r="D40" s="58"/>
      <c r="E40" s="58"/>
      <c r="F40" s="58"/>
      <c r="G40" s="58"/>
      <c r="H40" s="61"/>
      <c r="I40" s="12" t="s">
        <v>27</v>
      </c>
    </row>
    <row r="41" spans="1:9" ht="183" customHeight="1">
      <c r="A41" s="10" t="s">
        <v>21</v>
      </c>
      <c r="B41" s="57"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59"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57"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59"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57"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59"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57"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60" t="s">
        <v>140</v>
      </c>
      <c r="B78" s="58"/>
      <c r="C78" s="58"/>
      <c r="D78" s="58"/>
      <c r="E78" s="58"/>
      <c r="F78" s="58"/>
      <c r="G78" s="58"/>
      <c r="H78" s="61"/>
      <c r="I78" s="12" t="s">
        <v>27</v>
      </c>
    </row>
    <row r="79" spans="1:9" ht="76.5" customHeight="1">
      <c r="A79" s="7" t="s">
        <v>21</v>
      </c>
      <c r="B79" s="59"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57"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60" t="s">
        <v>159</v>
      </c>
      <c r="B85" s="58"/>
      <c r="C85" s="58"/>
      <c r="D85" s="58"/>
      <c r="E85" s="58"/>
      <c r="F85" s="58"/>
      <c r="G85" s="58"/>
      <c r="H85" s="61"/>
      <c r="I85" s="12" t="s">
        <v>27</v>
      </c>
    </row>
    <row r="86" spans="1:9" ht="76.5" customHeight="1">
      <c r="A86" s="7" t="s">
        <v>21</v>
      </c>
      <c r="B86" s="59"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57"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60" t="s">
        <v>20</v>
      </c>
      <c r="B2" s="58"/>
      <c r="C2" s="58"/>
      <c r="D2" s="58"/>
      <c r="E2" s="58"/>
      <c r="F2" s="58"/>
      <c r="G2" s="58"/>
      <c r="H2" s="61"/>
    </row>
    <row r="3" spans="1:9" ht="76.5" customHeight="1">
      <c r="A3" s="18" t="s">
        <v>161</v>
      </c>
      <c r="B3" s="59"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57"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59"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61"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61"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60" t="s">
        <v>213</v>
      </c>
      <c r="B31" s="58"/>
      <c r="C31" s="58"/>
      <c r="D31" s="58"/>
      <c r="E31" s="58"/>
      <c r="F31" s="58"/>
      <c r="G31" s="58"/>
      <c r="H31" s="61"/>
    </row>
    <row r="32" spans="1:9" ht="76.5" customHeight="1">
      <c r="A32" s="18" t="s">
        <v>161</v>
      </c>
      <c r="B32" s="59"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57"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59"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61"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61"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60" t="s">
        <v>140</v>
      </c>
      <c r="B60" s="58"/>
      <c r="C60" s="58"/>
      <c r="D60" s="58"/>
      <c r="E60" s="58"/>
      <c r="F60" s="58"/>
      <c r="G60" s="58"/>
      <c r="H60" s="61"/>
    </row>
    <row r="61" spans="1:9" ht="76.5" customHeight="1">
      <c r="A61" s="18" t="s">
        <v>161</v>
      </c>
      <c r="B61" s="59"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57"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59"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61"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61"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60" t="s">
        <v>159</v>
      </c>
      <c r="B89" s="58"/>
      <c r="C89" s="58"/>
      <c r="D89" s="58"/>
      <c r="E89" s="58"/>
      <c r="F89" s="58"/>
      <c r="G89" s="58"/>
      <c r="H89" s="61"/>
    </row>
    <row r="90" spans="1:9" ht="76.5" customHeight="1">
      <c r="A90" s="18" t="s">
        <v>161</v>
      </c>
      <c r="B90" s="59"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57"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59"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61"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61"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5"/>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61"/>
      <c r="C2" s="63"/>
      <c r="D2" s="58"/>
      <c r="E2" s="63"/>
      <c r="F2" s="63"/>
      <c r="G2" s="63"/>
      <c r="H2" s="2"/>
    </row>
    <row r="3" spans="1:11" ht="198" customHeight="1">
      <c r="B3" s="61" t="s">
        <v>216</v>
      </c>
      <c r="C3" s="13" t="s">
        <v>217</v>
      </c>
      <c r="D3" s="6" t="s">
        <v>218</v>
      </c>
      <c r="E3" s="13" t="s">
        <v>219</v>
      </c>
      <c r="F3" s="13" t="s">
        <v>220</v>
      </c>
      <c r="G3" s="12" t="s">
        <v>27</v>
      </c>
      <c r="H3" t="s">
        <v>27</v>
      </c>
      <c r="I3" t="s">
        <v>27</v>
      </c>
      <c r="J3" t="s">
        <v>27</v>
      </c>
      <c r="K3" t="s">
        <v>27</v>
      </c>
    </row>
    <row r="4" spans="1:11" ht="76.5" customHeight="1">
      <c r="A4" s="61"/>
      <c r="B4" s="61"/>
      <c r="C4" s="63" t="s">
        <v>221</v>
      </c>
      <c r="D4" s="58" t="s">
        <v>218</v>
      </c>
      <c r="E4" s="6" t="s">
        <v>222</v>
      </c>
      <c r="F4" s="13" t="s">
        <v>223</v>
      </c>
      <c r="G4" s="12" t="s">
        <v>28</v>
      </c>
      <c r="H4" t="s">
        <v>27</v>
      </c>
      <c r="I4" t="s">
        <v>27</v>
      </c>
      <c r="J4" t="s">
        <v>27</v>
      </c>
      <c r="K4" t="s">
        <v>27</v>
      </c>
    </row>
    <row r="5" spans="1:11" ht="45.75" customHeight="1">
      <c r="A5" s="63"/>
      <c r="B5" s="61"/>
      <c r="C5" s="63"/>
      <c r="D5" s="58"/>
      <c r="E5" s="6" t="s">
        <v>224</v>
      </c>
      <c r="F5" s="13" t="s">
        <v>225</v>
      </c>
      <c r="G5" s="12"/>
    </row>
    <row r="6" spans="1:11" ht="121.5" customHeight="1">
      <c r="B6" s="61"/>
      <c r="C6" s="63" t="s">
        <v>226</v>
      </c>
      <c r="D6" s="58" t="s">
        <v>218</v>
      </c>
      <c r="E6" s="13" t="s">
        <v>219</v>
      </c>
      <c r="F6" s="13" t="s">
        <v>613</v>
      </c>
      <c r="G6" s="12" t="s">
        <v>28</v>
      </c>
      <c r="H6" t="s">
        <v>27</v>
      </c>
      <c r="I6" t="s">
        <v>27</v>
      </c>
      <c r="J6" t="s">
        <v>27</v>
      </c>
      <c r="K6" t="s">
        <v>27</v>
      </c>
    </row>
    <row r="7" spans="1:11" ht="45.75" customHeight="1">
      <c r="B7" s="61"/>
      <c r="C7" s="63"/>
      <c r="D7" s="58"/>
      <c r="E7" s="13" t="s">
        <v>227</v>
      </c>
      <c r="F7" s="13" t="s">
        <v>228</v>
      </c>
      <c r="G7" s="12"/>
    </row>
    <row r="8" spans="1:11" ht="30.75" customHeight="1">
      <c r="B8" s="61"/>
      <c r="C8" s="13" t="s">
        <v>229</v>
      </c>
      <c r="D8" s="6" t="s">
        <v>218</v>
      </c>
      <c r="E8" s="25" t="s">
        <v>230</v>
      </c>
      <c r="F8" s="25" t="s">
        <v>230</v>
      </c>
      <c r="G8" s="12"/>
    </row>
    <row r="9" spans="1:11" ht="30.75" customHeight="1">
      <c r="B9" s="61"/>
      <c r="C9" s="13" t="s">
        <v>231</v>
      </c>
      <c r="D9" s="6" t="s">
        <v>218</v>
      </c>
      <c r="E9" s="25" t="s">
        <v>230</v>
      </c>
      <c r="F9" s="25" t="s">
        <v>230</v>
      </c>
      <c r="G9" s="12"/>
    </row>
    <row r="10" spans="1:11" ht="91.5" customHeight="1">
      <c r="B10" s="61"/>
      <c r="C10" s="13" t="s">
        <v>232</v>
      </c>
      <c r="D10" s="6" t="s">
        <v>218</v>
      </c>
      <c r="E10" s="13" t="s">
        <v>233</v>
      </c>
      <c r="F10" s="13" t="s">
        <v>234</v>
      </c>
      <c r="G10" s="12" t="s">
        <v>27</v>
      </c>
      <c r="H10" t="s">
        <v>28</v>
      </c>
      <c r="I10" t="s">
        <v>28</v>
      </c>
      <c r="J10" t="s">
        <v>27</v>
      </c>
      <c r="K10" t="s">
        <v>27</v>
      </c>
    </row>
    <row r="11" spans="1:11" ht="140.25" customHeight="1">
      <c r="B11" s="61"/>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61"/>
      <c r="C13" s="63"/>
      <c r="D13" s="58"/>
      <c r="E13" s="63"/>
      <c r="F13" s="63"/>
      <c r="G13" s="63"/>
      <c r="H13" s="2"/>
    </row>
    <row r="14" spans="1:11" ht="90">
      <c r="B14" s="12" t="s">
        <v>701</v>
      </c>
      <c r="C14" s="13" t="s">
        <v>702</v>
      </c>
      <c r="D14" s="6" t="s">
        <v>773</v>
      </c>
      <c r="E14" s="13" t="s">
        <v>774</v>
      </c>
      <c r="F14" s="13" t="s">
        <v>775</v>
      </c>
      <c r="G14" s="13" t="s">
        <v>27</v>
      </c>
      <c r="H14" s="12" t="s">
        <v>27</v>
      </c>
      <c r="I14" s="13" t="s">
        <v>28</v>
      </c>
      <c r="J14" s="13" t="s">
        <v>27</v>
      </c>
      <c r="K14" s="13" t="s">
        <v>27</v>
      </c>
    </row>
    <row r="15" spans="1:11" ht="225">
      <c r="C15" s="13" t="s">
        <v>703</v>
      </c>
      <c r="D15" s="6" t="s">
        <v>230</v>
      </c>
      <c r="E15" s="13" t="s">
        <v>230</v>
      </c>
      <c r="F15" s="13" t="s">
        <v>776</v>
      </c>
      <c r="G15" s="13" t="s">
        <v>27</v>
      </c>
      <c r="H15" s="12" t="s">
        <v>28</v>
      </c>
      <c r="I15" s="13" t="s">
        <v>28</v>
      </c>
      <c r="J15" s="13" t="s">
        <v>27</v>
      </c>
      <c r="K15" s="13" t="s">
        <v>27</v>
      </c>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9"/>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59" t="s">
        <v>239</v>
      </c>
      <c r="C3" s="18" t="s">
        <v>240</v>
      </c>
      <c r="D3" s="8" t="s">
        <v>241</v>
      </c>
      <c r="E3" s="8" t="s">
        <v>242</v>
      </c>
      <c r="F3" s="8" t="s">
        <v>243</v>
      </c>
      <c r="G3" s="12" t="s">
        <v>27</v>
      </c>
      <c r="H3" s="12" t="s">
        <v>27</v>
      </c>
      <c r="I3" s="12" t="s">
        <v>27</v>
      </c>
      <c r="J3" s="12" t="s">
        <v>27</v>
      </c>
      <c r="K3" s="12" t="s">
        <v>27</v>
      </c>
    </row>
    <row r="4" spans="1:11" ht="76.5" customHeight="1">
      <c r="A4" s="7" t="s">
        <v>167</v>
      </c>
      <c r="B4" s="61"/>
      <c r="C4" s="18" t="s">
        <v>244</v>
      </c>
      <c r="D4" s="8" t="s">
        <v>241</v>
      </c>
      <c r="E4" s="8" t="s">
        <v>245</v>
      </c>
      <c r="F4" s="8" t="s">
        <v>246</v>
      </c>
      <c r="G4" s="12" t="s">
        <v>27</v>
      </c>
      <c r="H4" s="12" t="s">
        <v>27</v>
      </c>
      <c r="I4" s="12" t="s">
        <v>27</v>
      </c>
      <c r="J4" s="12" t="s">
        <v>27</v>
      </c>
      <c r="K4" s="12" t="s">
        <v>27</v>
      </c>
    </row>
    <row r="5" spans="1:11" ht="76.5" customHeight="1">
      <c r="A5" s="7" t="s">
        <v>171</v>
      </c>
      <c r="B5" s="61"/>
      <c r="C5" s="18" t="s">
        <v>247</v>
      </c>
      <c r="D5" s="8" t="s">
        <v>248</v>
      </c>
      <c r="E5" s="8" t="s">
        <v>249</v>
      </c>
      <c r="F5" s="8" t="s">
        <v>250</v>
      </c>
      <c r="G5" s="12" t="s">
        <v>27</v>
      </c>
      <c r="H5" s="12" t="s">
        <v>27</v>
      </c>
      <c r="I5" s="12" t="s">
        <v>28</v>
      </c>
      <c r="J5" s="12" t="s">
        <v>27</v>
      </c>
      <c r="K5" s="12" t="s">
        <v>28</v>
      </c>
    </row>
    <row r="6" spans="1:11" ht="60.75" customHeight="1">
      <c r="A6" s="7" t="s">
        <v>176</v>
      </c>
      <c r="B6" s="61"/>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57" t="s">
        <v>254</v>
      </c>
      <c r="C8" s="22" t="s">
        <v>255</v>
      </c>
      <c r="D8" s="11" t="s">
        <v>256</v>
      </c>
      <c r="E8" s="11" t="s">
        <v>257</v>
      </c>
      <c r="F8" s="11" t="s">
        <v>258</v>
      </c>
      <c r="G8" s="12" t="s">
        <v>27</v>
      </c>
      <c r="H8" s="12" t="s">
        <v>27</v>
      </c>
      <c r="I8" s="12" t="s">
        <v>27</v>
      </c>
      <c r="J8" s="12" t="s">
        <v>27</v>
      </c>
      <c r="K8" s="12" t="s">
        <v>27</v>
      </c>
    </row>
    <row r="9" spans="1:11" ht="91.5" customHeight="1">
      <c r="A9" s="10" t="s">
        <v>167</v>
      </c>
      <c r="B9" s="61"/>
      <c r="C9" s="22" t="s">
        <v>259</v>
      </c>
      <c r="D9" s="11" t="s">
        <v>256</v>
      </c>
      <c r="E9" s="11" t="s">
        <v>260</v>
      </c>
      <c r="F9" s="11" t="s">
        <v>261</v>
      </c>
      <c r="G9" s="12" t="s">
        <v>28</v>
      </c>
      <c r="H9" s="12" t="s">
        <v>27</v>
      </c>
      <c r="I9" s="12" t="s">
        <v>27</v>
      </c>
      <c r="J9" s="12" t="s">
        <v>27</v>
      </c>
      <c r="K9" s="12" t="s">
        <v>27</v>
      </c>
    </row>
    <row r="10" spans="1:11" ht="106.5" customHeight="1">
      <c r="A10" s="10" t="s">
        <v>171</v>
      </c>
      <c r="B10" s="61"/>
      <c r="C10" s="64" t="s">
        <v>262</v>
      </c>
      <c r="D10" s="64" t="s">
        <v>263</v>
      </c>
      <c r="E10" s="11" t="s">
        <v>264</v>
      </c>
      <c r="F10" s="11" t="s">
        <v>265</v>
      </c>
      <c r="G10" s="61" t="s">
        <v>28</v>
      </c>
      <c r="H10" s="12" t="s">
        <v>27</v>
      </c>
      <c r="I10" s="12" t="s">
        <v>27</v>
      </c>
      <c r="J10" s="12" t="s">
        <v>27</v>
      </c>
      <c r="K10" s="12" t="s">
        <v>27</v>
      </c>
    </row>
    <row r="11" spans="1:11" ht="106.5" customHeight="1">
      <c r="A11" s="10" t="s">
        <v>176</v>
      </c>
      <c r="B11" s="61"/>
      <c r="C11" s="58"/>
      <c r="D11" s="63"/>
      <c r="E11" s="11" t="s">
        <v>266</v>
      </c>
      <c r="F11" s="11" t="s">
        <v>265</v>
      </c>
      <c r="G11" s="61"/>
      <c r="H11" s="12" t="s">
        <v>27</v>
      </c>
      <c r="I11" s="12" t="s">
        <v>27</v>
      </c>
      <c r="J11" s="12" t="s">
        <v>27</v>
      </c>
      <c r="K11" s="12" t="s">
        <v>27</v>
      </c>
    </row>
    <row r="12" spans="1:11" ht="76.5" customHeight="1">
      <c r="A12" s="10" t="s">
        <v>179</v>
      </c>
      <c r="B12" s="61"/>
      <c r="C12" s="22" t="s">
        <v>267</v>
      </c>
      <c r="D12" s="11" t="s">
        <v>263</v>
      </c>
      <c r="E12" s="11" t="s">
        <v>268</v>
      </c>
      <c r="F12" s="11" t="s">
        <v>269</v>
      </c>
      <c r="G12" s="12" t="s">
        <v>27</v>
      </c>
      <c r="H12" s="12" t="s">
        <v>27</v>
      </c>
      <c r="I12" s="12" t="s">
        <v>27</v>
      </c>
      <c r="J12" s="12" t="s">
        <v>27</v>
      </c>
      <c r="K12" s="12" t="s">
        <v>27</v>
      </c>
    </row>
    <row r="13" spans="1:11" ht="76.5" customHeight="1">
      <c r="A13" s="10" t="s">
        <v>270</v>
      </c>
      <c r="B13" s="61"/>
      <c r="C13" s="22" t="s">
        <v>271</v>
      </c>
      <c r="D13" s="11" t="s">
        <v>263</v>
      </c>
      <c r="E13" s="11" t="s">
        <v>260</v>
      </c>
      <c r="F13" s="22" t="s">
        <v>272</v>
      </c>
      <c r="G13" s="12" t="s">
        <v>28</v>
      </c>
      <c r="H13" s="12" t="s">
        <v>27</v>
      </c>
      <c r="I13" s="12" t="s">
        <v>27</v>
      </c>
      <c r="J13" s="12" t="s">
        <v>27</v>
      </c>
      <c r="K13" s="12" t="s">
        <v>27</v>
      </c>
    </row>
    <row r="14" spans="1:11" ht="76.5" customHeight="1">
      <c r="A14" s="10" t="s">
        <v>273</v>
      </c>
      <c r="B14" s="61"/>
      <c r="C14" s="22" t="s">
        <v>274</v>
      </c>
      <c r="D14" s="11" t="s">
        <v>275</v>
      </c>
      <c r="E14" s="11" t="s">
        <v>276</v>
      </c>
      <c r="F14" s="22" t="s">
        <v>277</v>
      </c>
      <c r="G14" s="12" t="s">
        <v>28</v>
      </c>
      <c r="H14" s="12" t="s">
        <v>27</v>
      </c>
      <c r="I14" s="12" t="s">
        <v>27</v>
      </c>
      <c r="J14" s="12" t="s">
        <v>27</v>
      </c>
      <c r="K14" s="12" t="s">
        <v>27</v>
      </c>
    </row>
    <row r="15" spans="1:11" ht="76.5" customHeight="1">
      <c r="A15" s="10" t="s">
        <v>278</v>
      </c>
      <c r="B15" s="61"/>
      <c r="C15" s="22" t="s">
        <v>279</v>
      </c>
      <c r="D15" s="11" t="s">
        <v>275</v>
      </c>
      <c r="E15" s="11" t="s">
        <v>280</v>
      </c>
      <c r="F15" s="22" t="s">
        <v>277</v>
      </c>
      <c r="G15" s="12" t="s">
        <v>28</v>
      </c>
      <c r="H15" s="12" t="s">
        <v>27</v>
      </c>
      <c r="I15" s="12" t="s">
        <v>28</v>
      </c>
      <c r="J15" s="12" t="s">
        <v>27</v>
      </c>
      <c r="K15" s="12" t="s">
        <v>27</v>
      </c>
    </row>
    <row r="16" spans="1:11" ht="76.5" customHeight="1">
      <c r="A16" s="10" t="s">
        <v>281</v>
      </c>
      <c r="B16" s="61"/>
      <c r="C16" s="22" t="s">
        <v>282</v>
      </c>
      <c r="D16" s="11" t="s">
        <v>275</v>
      </c>
      <c r="E16" s="11" t="s">
        <v>283</v>
      </c>
      <c r="F16" s="11" t="s">
        <v>284</v>
      </c>
      <c r="G16" s="12" t="s">
        <v>27</v>
      </c>
      <c r="H16" s="12" t="s">
        <v>27</v>
      </c>
      <c r="I16" s="12" t="s">
        <v>27</v>
      </c>
      <c r="J16" s="12" t="s">
        <v>27</v>
      </c>
      <c r="K16" s="12" t="s">
        <v>27</v>
      </c>
    </row>
    <row r="17" spans="1:11" ht="76.5" customHeight="1">
      <c r="A17" s="10" t="s">
        <v>285</v>
      </c>
      <c r="B17" s="61"/>
      <c r="C17" s="22" t="s">
        <v>286</v>
      </c>
      <c r="D17" s="11" t="s">
        <v>275</v>
      </c>
      <c r="E17" s="11" t="s">
        <v>260</v>
      </c>
      <c r="F17" s="11" t="s">
        <v>287</v>
      </c>
      <c r="G17" s="12" t="s">
        <v>28</v>
      </c>
      <c r="H17" s="12" t="s">
        <v>27</v>
      </c>
      <c r="I17" s="12" t="s">
        <v>27</v>
      </c>
      <c r="J17" s="12" t="s">
        <v>27</v>
      </c>
      <c r="K17" s="12" t="s">
        <v>27</v>
      </c>
    </row>
    <row r="18" spans="1:11" ht="121.5" customHeight="1">
      <c r="A18" s="10" t="s">
        <v>288</v>
      </c>
      <c r="B18" s="61"/>
      <c r="C18" s="22" t="s">
        <v>289</v>
      </c>
      <c r="D18" s="11" t="s">
        <v>290</v>
      </c>
      <c r="E18" s="11" t="s">
        <v>291</v>
      </c>
      <c r="F18" s="11" t="s">
        <v>292</v>
      </c>
      <c r="G18" s="12" t="s">
        <v>27</v>
      </c>
      <c r="H18" s="12" t="s">
        <v>27</v>
      </c>
      <c r="I18" s="12" t="s">
        <v>27</v>
      </c>
      <c r="J18" s="12" t="s">
        <v>27</v>
      </c>
      <c r="K18" s="12" t="s">
        <v>27</v>
      </c>
    </row>
    <row r="19" spans="1:11" ht="121.5" customHeight="1">
      <c r="A19" s="10" t="s">
        <v>293</v>
      </c>
      <c r="B19" s="61"/>
      <c r="C19" s="22" t="s">
        <v>294</v>
      </c>
      <c r="D19" s="11" t="s">
        <v>295</v>
      </c>
      <c r="E19" s="11" t="s">
        <v>291</v>
      </c>
      <c r="F19" s="11" t="s">
        <v>296</v>
      </c>
      <c r="G19" s="12" t="s">
        <v>27</v>
      </c>
      <c r="H19" s="12" t="s">
        <v>27</v>
      </c>
      <c r="I19" s="12" t="s">
        <v>27</v>
      </c>
      <c r="J19" s="12" t="s">
        <v>27</v>
      </c>
      <c r="K19" s="12" t="s">
        <v>27</v>
      </c>
    </row>
    <row r="20" spans="1:11" ht="76.5" customHeight="1">
      <c r="A20" s="10" t="s">
        <v>297</v>
      </c>
      <c r="B20" s="61"/>
      <c r="C20" s="22" t="s">
        <v>298</v>
      </c>
      <c r="D20" s="11" t="s">
        <v>299</v>
      </c>
      <c r="E20" s="11" t="s">
        <v>300</v>
      </c>
      <c r="F20" s="11" t="s">
        <v>301</v>
      </c>
      <c r="G20" s="12" t="s">
        <v>27</v>
      </c>
      <c r="H20" s="12" t="s">
        <v>27</v>
      </c>
      <c r="I20" s="12" t="s">
        <v>27</v>
      </c>
      <c r="J20" s="12" t="s">
        <v>27</v>
      </c>
      <c r="K20" s="12" t="s">
        <v>27</v>
      </c>
    </row>
    <row r="21" spans="1:11" ht="76.5" customHeight="1">
      <c r="A21" s="10" t="s">
        <v>302</v>
      </c>
      <c r="B21" s="61"/>
      <c r="C21" s="22" t="s">
        <v>303</v>
      </c>
      <c r="D21" s="11" t="s">
        <v>299</v>
      </c>
      <c r="E21" s="11" t="s">
        <v>260</v>
      </c>
      <c r="F21" s="11" t="s">
        <v>269</v>
      </c>
      <c r="G21" s="12" t="s">
        <v>28</v>
      </c>
      <c r="H21" s="12" t="s">
        <v>27</v>
      </c>
      <c r="I21" s="12" t="s">
        <v>27</v>
      </c>
      <c r="J21" s="12" t="s">
        <v>27</v>
      </c>
      <c r="K21" s="12" t="s">
        <v>27</v>
      </c>
    </row>
    <row r="22" spans="1:11" ht="76.5" customHeight="1">
      <c r="A22" s="10" t="s">
        <v>304</v>
      </c>
      <c r="B22" s="61"/>
      <c r="C22" s="22" t="s">
        <v>305</v>
      </c>
      <c r="D22" s="11" t="s">
        <v>306</v>
      </c>
      <c r="E22" s="11" t="s">
        <v>307</v>
      </c>
      <c r="F22" s="11" t="s">
        <v>308</v>
      </c>
      <c r="G22" s="12" t="s">
        <v>28</v>
      </c>
      <c r="H22" s="12" t="s">
        <v>28</v>
      </c>
      <c r="I22" s="12" t="s">
        <v>28</v>
      </c>
      <c r="J22" s="12" t="s">
        <v>28</v>
      </c>
      <c r="K22" s="12" t="s">
        <v>27</v>
      </c>
    </row>
    <row r="23" spans="1:11" ht="76.5" customHeight="1">
      <c r="A23" s="10" t="s">
        <v>309</v>
      </c>
      <c r="B23" s="61"/>
      <c r="C23" s="22" t="s">
        <v>310</v>
      </c>
      <c r="D23" s="11" t="s">
        <v>306</v>
      </c>
      <c r="E23" s="11" t="s">
        <v>311</v>
      </c>
      <c r="F23" s="11" t="s">
        <v>312</v>
      </c>
      <c r="G23" s="12" t="s">
        <v>27</v>
      </c>
      <c r="H23" s="12" t="s">
        <v>27</v>
      </c>
      <c r="I23" s="12" t="s">
        <v>27</v>
      </c>
      <c r="J23" s="12" t="s">
        <v>27</v>
      </c>
      <c r="K23" s="12" t="s">
        <v>27</v>
      </c>
    </row>
    <row r="24" spans="1:11" ht="76.5" customHeight="1">
      <c r="A24" s="10" t="s">
        <v>313</v>
      </c>
      <c r="B24" s="61"/>
      <c r="C24" s="22" t="s">
        <v>314</v>
      </c>
      <c r="D24" s="11" t="s">
        <v>306</v>
      </c>
      <c r="E24" s="11" t="s">
        <v>260</v>
      </c>
      <c r="F24" s="11" t="s">
        <v>284</v>
      </c>
      <c r="G24" s="12" t="s">
        <v>28</v>
      </c>
      <c r="H24" s="12" t="s">
        <v>27</v>
      </c>
      <c r="I24" s="12" t="s">
        <v>27</v>
      </c>
      <c r="J24" s="12" t="s">
        <v>27</v>
      </c>
      <c r="K24" s="12" t="s">
        <v>27</v>
      </c>
    </row>
    <row r="25" spans="1:11" ht="106.5" customHeight="1">
      <c r="A25" s="10" t="s">
        <v>315</v>
      </c>
      <c r="B25" s="61"/>
      <c r="C25" s="22" t="s">
        <v>316</v>
      </c>
      <c r="D25" s="11" t="s">
        <v>317</v>
      </c>
      <c r="E25" s="11" t="s">
        <v>318</v>
      </c>
      <c r="F25" s="11" t="s">
        <v>319</v>
      </c>
      <c r="G25" s="12" t="s">
        <v>28</v>
      </c>
      <c r="H25" s="12" t="s">
        <v>28</v>
      </c>
      <c r="I25" s="12" t="s">
        <v>581</v>
      </c>
      <c r="J25" s="12" t="s">
        <v>27</v>
      </c>
    </row>
    <row r="26" spans="1:11" ht="106.5" customHeight="1">
      <c r="A26" s="10" t="s">
        <v>320</v>
      </c>
      <c r="B26" s="61"/>
      <c r="C26" s="64" t="s">
        <v>321</v>
      </c>
      <c r="D26" s="64" t="s">
        <v>322</v>
      </c>
      <c r="E26" s="11" t="s">
        <v>323</v>
      </c>
      <c r="F26" s="11" t="s">
        <v>324</v>
      </c>
      <c r="G26" s="61" t="s">
        <v>28</v>
      </c>
      <c r="H26" s="61" t="s">
        <v>28</v>
      </c>
      <c r="I26" s="12" t="s">
        <v>28</v>
      </c>
      <c r="J26" s="12" t="s">
        <v>28</v>
      </c>
    </row>
    <row r="27" spans="1:11" ht="60.75" customHeight="1">
      <c r="A27" s="10" t="s">
        <v>325</v>
      </c>
      <c r="B27" s="61"/>
      <c r="C27" s="58"/>
      <c r="D27" s="63"/>
      <c r="E27" s="11" t="s">
        <v>326</v>
      </c>
      <c r="F27" s="11" t="s">
        <v>327</v>
      </c>
      <c r="G27" s="61"/>
      <c r="H27" s="63"/>
    </row>
    <row r="28" spans="1:11" ht="76.5" customHeight="1">
      <c r="A28" s="10" t="s">
        <v>328</v>
      </c>
      <c r="B28" s="61"/>
      <c r="C28" s="22" t="s">
        <v>329</v>
      </c>
      <c r="D28" s="11" t="s">
        <v>330</v>
      </c>
      <c r="E28" s="11" t="s">
        <v>331</v>
      </c>
      <c r="F28" s="11" t="s">
        <v>332</v>
      </c>
      <c r="G28" s="12" t="s">
        <v>28</v>
      </c>
      <c r="H28" s="12" t="s">
        <v>27</v>
      </c>
      <c r="I28" s="12" t="s">
        <v>28</v>
      </c>
      <c r="J28" s="12" t="s">
        <v>27</v>
      </c>
      <c r="K28" s="12" t="s">
        <v>28</v>
      </c>
    </row>
    <row r="29" spans="1:11" ht="76.5" customHeight="1">
      <c r="A29" s="10" t="s">
        <v>333</v>
      </c>
      <c r="B29" s="61"/>
      <c r="C29" s="22" t="s">
        <v>334</v>
      </c>
      <c r="D29" s="11" t="s">
        <v>330</v>
      </c>
      <c r="E29" s="11" t="s">
        <v>335</v>
      </c>
      <c r="F29" s="11" t="s">
        <v>336</v>
      </c>
      <c r="G29" s="12" t="s">
        <v>28</v>
      </c>
      <c r="H29" s="12" t="s">
        <v>27</v>
      </c>
      <c r="I29" s="12" t="s">
        <v>28</v>
      </c>
      <c r="J29" s="12" t="s">
        <v>27</v>
      </c>
      <c r="K29" s="12" t="s">
        <v>28</v>
      </c>
    </row>
    <row r="30" spans="1:11" ht="76.5" customHeight="1">
      <c r="A30" s="10" t="s">
        <v>337</v>
      </c>
      <c r="B30" s="61"/>
      <c r="C30" s="22" t="s">
        <v>338</v>
      </c>
      <c r="D30" s="11" t="s">
        <v>330</v>
      </c>
      <c r="E30" s="11" t="s">
        <v>224</v>
      </c>
      <c r="F30" s="11" t="s">
        <v>339</v>
      </c>
      <c r="G30" s="12" t="s">
        <v>27</v>
      </c>
      <c r="H30" s="12" t="s">
        <v>27</v>
      </c>
      <c r="I30" s="12" t="s">
        <v>27</v>
      </c>
      <c r="J30" s="12" t="s">
        <v>27</v>
      </c>
      <c r="K30" s="12" t="s">
        <v>27</v>
      </c>
    </row>
    <row r="31" spans="1:11" ht="76.5" customHeight="1">
      <c r="A31" s="10" t="s">
        <v>340</v>
      </c>
      <c r="B31" s="61"/>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59" t="s">
        <v>349</v>
      </c>
      <c r="C36" s="22" t="s">
        <v>350</v>
      </c>
      <c r="D36" s="11" t="s">
        <v>351</v>
      </c>
      <c r="E36" s="11" t="s">
        <v>352</v>
      </c>
      <c r="F36" s="11" t="s">
        <v>353</v>
      </c>
      <c r="G36" s="12" t="s">
        <v>27</v>
      </c>
      <c r="H36" s="12" t="s">
        <v>27</v>
      </c>
      <c r="I36" s="12" t="s">
        <v>27</v>
      </c>
      <c r="J36" s="12" t="s">
        <v>27</v>
      </c>
      <c r="K36" s="12" t="s">
        <v>27</v>
      </c>
    </row>
    <row r="37" spans="1:11" ht="90" customHeight="1">
      <c r="A37" s="10" t="s">
        <v>167</v>
      </c>
      <c r="B37" s="61"/>
      <c r="C37" s="23" t="s">
        <v>354</v>
      </c>
      <c r="D37" s="24" t="s">
        <v>351</v>
      </c>
      <c r="E37" s="24" t="s">
        <v>355</v>
      </c>
      <c r="F37" s="24" t="s">
        <v>356</v>
      </c>
      <c r="G37" s="12" t="s">
        <v>28</v>
      </c>
      <c r="H37" s="12" t="s">
        <v>27</v>
      </c>
      <c r="I37" s="12" t="s">
        <v>28</v>
      </c>
      <c r="J37" s="12" t="s">
        <v>27</v>
      </c>
      <c r="K37" s="12" t="s">
        <v>27</v>
      </c>
    </row>
    <row r="38" spans="1:11" ht="240">
      <c r="B38" s="12" t="s">
        <v>704</v>
      </c>
      <c r="C38" s="6" t="s">
        <v>705</v>
      </c>
      <c r="D38" s="13" t="s">
        <v>779</v>
      </c>
      <c r="E38" s="13" t="s">
        <v>780</v>
      </c>
      <c r="F38" s="13" t="s">
        <v>781</v>
      </c>
      <c r="G38" s="12" t="s">
        <v>28</v>
      </c>
      <c r="H38" s="13" t="s">
        <v>28</v>
      </c>
      <c r="I38" s="13" t="s">
        <v>28</v>
      </c>
      <c r="J38" s="13" t="s">
        <v>28</v>
      </c>
      <c r="K38" s="13" t="s">
        <v>28</v>
      </c>
    </row>
    <row r="39" spans="1:11" ht="255">
      <c r="A39" s="12" t="s">
        <v>161</v>
      </c>
      <c r="B39" s="12" t="s">
        <v>804</v>
      </c>
      <c r="C39" s="6" t="s">
        <v>805</v>
      </c>
      <c r="D39" s="13" t="s">
        <v>806</v>
      </c>
      <c r="E39" s="13" t="s">
        <v>807</v>
      </c>
      <c r="F39" s="13" t="s">
        <v>808</v>
      </c>
      <c r="G39" s="12" t="s">
        <v>27</v>
      </c>
      <c r="H39" s="13" t="s">
        <v>27</v>
      </c>
      <c r="I39" s="13" t="s">
        <v>27</v>
      </c>
      <c r="J39" s="13" t="s">
        <v>27</v>
      </c>
      <c r="K39" s="13"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59"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57"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59"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57"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59"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6"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582</v>
      </c>
    </row>
    <row r="2" spans="1:9">
      <c r="A2" s="62" t="s">
        <v>215</v>
      </c>
      <c r="B2" s="46"/>
      <c r="C2" s="46"/>
      <c r="D2" s="46"/>
      <c r="E2" s="46"/>
      <c r="F2" s="46"/>
      <c r="G2" s="46"/>
      <c r="H2" s="46"/>
    </row>
    <row r="3" spans="1:9" ht="30">
      <c r="A3" t="s">
        <v>161</v>
      </c>
      <c r="B3" t="s">
        <v>614</v>
      </c>
      <c r="C3" t="s">
        <v>615</v>
      </c>
      <c r="D3" t="s">
        <v>616</v>
      </c>
      <c r="E3" s="37" t="s">
        <v>617</v>
      </c>
      <c r="F3" t="s">
        <v>618</v>
      </c>
      <c r="G3" t="s">
        <v>28</v>
      </c>
      <c r="H3" t="s">
        <v>27</v>
      </c>
    </row>
    <row r="4" spans="1:9">
      <c r="A4" t="s">
        <v>167</v>
      </c>
      <c r="B4" t="s">
        <v>695</v>
      </c>
      <c r="C4" t="s">
        <v>696</v>
      </c>
      <c r="D4" t="s">
        <v>230</v>
      </c>
      <c r="E4" t="s">
        <v>230</v>
      </c>
      <c r="F4" t="s">
        <v>785</v>
      </c>
      <c r="G4" t="s">
        <v>27</v>
      </c>
      <c r="H4" t="s">
        <v>28</v>
      </c>
      <c r="I4" t="s">
        <v>754</v>
      </c>
    </row>
    <row r="5" spans="1:9">
      <c r="A5" t="s">
        <v>171</v>
      </c>
      <c r="C5" t="s">
        <v>697</v>
      </c>
      <c r="D5" t="s">
        <v>230</v>
      </c>
      <c r="E5" t="s">
        <v>230</v>
      </c>
      <c r="F5" t="s">
        <v>768</v>
      </c>
      <c r="G5" t="s">
        <v>27</v>
      </c>
      <c r="H5" t="s">
        <v>28</v>
      </c>
      <c r="I5" t="s">
        <v>754</v>
      </c>
    </row>
    <row r="6" spans="1:9">
      <c r="A6" t="s">
        <v>176</v>
      </c>
      <c r="C6" t="s">
        <v>698</v>
      </c>
      <c r="D6" t="s">
        <v>230</v>
      </c>
      <c r="E6" t="s">
        <v>230</v>
      </c>
      <c r="F6" t="s">
        <v>769</v>
      </c>
      <c r="G6" t="s">
        <v>27</v>
      </c>
      <c r="H6" t="s">
        <v>28</v>
      </c>
      <c r="I6" t="s">
        <v>754</v>
      </c>
    </row>
    <row r="7" spans="1:9">
      <c r="A7" t="s">
        <v>179</v>
      </c>
      <c r="C7" t="s">
        <v>699</v>
      </c>
      <c r="D7" t="s">
        <v>230</v>
      </c>
      <c r="E7" t="s">
        <v>230</v>
      </c>
      <c r="F7" t="s">
        <v>769</v>
      </c>
      <c r="G7" t="s">
        <v>28</v>
      </c>
      <c r="H7" t="s">
        <v>28</v>
      </c>
      <c r="I7" t="s">
        <v>754</v>
      </c>
    </row>
    <row r="8" spans="1:9">
      <c r="A8" t="s">
        <v>270</v>
      </c>
      <c r="C8" t="s">
        <v>700</v>
      </c>
      <c r="D8" t="s">
        <v>770</v>
      </c>
      <c r="E8" t="s">
        <v>771</v>
      </c>
      <c r="F8" t="s">
        <v>772</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6"/>
      <c r="C2" s="46"/>
      <c r="D2" s="46"/>
      <c r="E2" s="46"/>
      <c r="F2" s="46"/>
      <c r="G2" s="46"/>
      <c r="H2" s="46"/>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32"/>
  <sheetViews>
    <sheetView tabSelected="1" workbookViewId="0"/>
  </sheetViews>
  <sheetFormatPr baseColWidth="10" defaultRowHeight="15"/>
  <sheetData>
    <row r="1" spans="1:9">
      <c r="A1" t="s">
        <v>12</v>
      </c>
      <c r="B1" t="s">
        <v>13</v>
      </c>
      <c r="C1" t="s">
        <v>706</v>
      </c>
      <c r="D1" t="s">
        <v>15</v>
      </c>
      <c r="E1" t="s">
        <v>16</v>
      </c>
      <c r="F1" t="s">
        <v>17</v>
      </c>
      <c r="G1" t="s">
        <v>214</v>
      </c>
      <c r="H1" t="s">
        <v>19</v>
      </c>
      <c r="I1" t="s">
        <v>582</v>
      </c>
    </row>
    <row r="2" spans="1:9">
      <c r="A2" t="s">
        <v>161</v>
      </c>
      <c r="B2" t="s">
        <v>707</v>
      </c>
      <c r="C2" t="s">
        <v>708</v>
      </c>
      <c r="D2" t="s">
        <v>733</v>
      </c>
      <c r="E2" t="s">
        <v>734</v>
      </c>
      <c r="F2" t="s">
        <v>735</v>
      </c>
      <c r="G2" t="s">
        <v>27</v>
      </c>
      <c r="H2" t="s">
        <v>27</v>
      </c>
      <c r="I2" t="s">
        <v>27</v>
      </c>
    </row>
    <row r="3" spans="1:9">
      <c r="A3" t="s">
        <v>167</v>
      </c>
      <c r="C3" t="s">
        <v>709</v>
      </c>
      <c r="D3" t="s">
        <v>736</v>
      </c>
      <c r="E3" t="s">
        <v>737</v>
      </c>
      <c r="F3" t="s">
        <v>738</v>
      </c>
      <c r="G3" t="s">
        <v>27</v>
      </c>
      <c r="H3" t="s">
        <v>27</v>
      </c>
      <c r="I3" t="s">
        <v>27</v>
      </c>
    </row>
    <row r="4" spans="1:9">
      <c r="A4" t="s">
        <v>171</v>
      </c>
      <c r="C4" t="s">
        <v>710</v>
      </c>
      <c r="D4" t="s">
        <v>230</v>
      </c>
      <c r="E4" t="s">
        <v>739</v>
      </c>
      <c r="F4" t="s">
        <v>740</v>
      </c>
      <c r="G4" t="s">
        <v>27</v>
      </c>
      <c r="H4" t="s">
        <v>27</v>
      </c>
      <c r="I4" t="s">
        <v>27</v>
      </c>
    </row>
    <row r="5" spans="1:9">
      <c r="A5" t="s">
        <v>176</v>
      </c>
      <c r="C5" t="s">
        <v>711</v>
      </c>
      <c r="D5" t="s">
        <v>230</v>
      </c>
      <c r="E5" t="s">
        <v>230</v>
      </c>
      <c r="F5" t="s">
        <v>741</v>
      </c>
      <c r="G5" t="s">
        <v>27</v>
      </c>
      <c r="H5" t="s">
        <v>28</v>
      </c>
      <c r="I5" t="s">
        <v>28</v>
      </c>
    </row>
    <row r="6" spans="1:9">
      <c r="A6" t="s">
        <v>179</v>
      </c>
      <c r="C6" t="s">
        <v>712</v>
      </c>
      <c r="D6" t="s">
        <v>230</v>
      </c>
      <c r="E6" t="s">
        <v>230</v>
      </c>
      <c r="F6" t="s">
        <v>742</v>
      </c>
      <c r="G6" t="s">
        <v>28</v>
      </c>
      <c r="H6" t="s">
        <v>28</v>
      </c>
      <c r="I6" t="s">
        <v>28</v>
      </c>
    </row>
    <row r="7" spans="1:9">
      <c r="A7" t="s">
        <v>270</v>
      </c>
      <c r="C7" t="s">
        <v>713</v>
      </c>
      <c r="D7" t="s">
        <v>743</v>
      </c>
      <c r="E7" t="s">
        <v>744</v>
      </c>
      <c r="F7" t="s">
        <v>745</v>
      </c>
      <c r="G7" t="s">
        <v>27</v>
      </c>
      <c r="H7" t="s">
        <v>27</v>
      </c>
      <c r="I7" t="s">
        <v>27</v>
      </c>
    </row>
    <row r="8" spans="1:9">
      <c r="A8" t="s">
        <v>273</v>
      </c>
      <c r="C8" t="s">
        <v>714</v>
      </c>
      <c r="D8" t="s">
        <v>746</v>
      </c>
      <c r="E8" t="s">
        <v>747</v>
      </c>
      <c r="F8" t="s">
        <v>748</v>
      </c>
      <c r="G8" t="s">
        <v>28</v>
      </c>
      <c r="H8" t="s">
        <v>27</v>
      </c>
      <c r="I8" t="s">
        <v>27</v>
      </c>
    </row>
    <row r="10" spans="1:9">
      <c r="A10" t="s">
        <v>161</v>
      </c>
      <c r="B10" t="s">
        <v>715</v>
      </c>
      <c r="C10" t="s">
        <v>716</v>
      </c>
      <c r="D10" t="s">
        <v>230</v>
      </c>
      <c r="E10" t="s">
        <v>749</v>
      </c>
      <c r="F10" t="s">
        <v>750</v>
      </c>
      <c r="G10" t="s">
        <v>27</v>
      </c>
      <c r="H10" t="s">
        <v>27</v>
      </c>
      <c r="I10" t="s">
        <v>27</v>
      </c>
    </row>
    <row r="11" spans="1:9">
      <c r="A11" t="s">
        <v>167</v>
      </c>
      <c r="C11" t="s">
        <v>717</v>
      </c>
      <c r="D11" t="s">
        <v>230</v>
      </c>
      <c r="E11" t="s">
        <v>751</v>
      </c>
      <c r="F11" t="s">
        <v>752</v>
      </c>
      <c r="G11" t="s">
        <v>27</v>
      </c>
      <c r="H11" t="s">
        <v>27</v>
      </c>
      <c r="I11" t="s">
        <v>27</v>
      </c>
    </row>
    <row r="12" spans="1:9">
      <c r="A12" t="s">
        <v>171</v>
      </c>
      <c r="C12" t="s">
        <v>718</v>
      </c>
      <c r="D12" t="s">
        <v>230</v>
      </c>
      <c r="E12" t="s">
        <v>230</v>
      </c>
      <c r="F12" t="s">
        <v>753</v>
      </c>
      <c r="G12" t="s">
        <v>28</v>
      </c>
      <c r="H12" t="s">
        <v>28</v>
      </c>
      <c r="I12" t="s">
        <v>754</v>
      </c>
    </row>
    <row r="13" spans="1:9">
      <c r="A13" t="s">
        <v>176</v>
      </c>
      <c r="C13" t="s">
        <v>719</v>
      </c>
      <c r="D13" t="s">
        <v>230</v>
      </c>
      <c r="E13" t="s">
        <v>230</v>
      </c>
      <c r="F13" t="s">
        <v>755</v>
      </c>
      <c r="G13" t="s">
        <v>28</v>
      </c>
      <c r="H13" t="s">
        <v>28</v>
      </c>
      <c r="I13" t="s">
        <v>754</v>
      </c>
    </row>
    <row r="14" spans="1:9">
      <c r="A14" t="s">
        <v>179</v>
      </c>
      <c r="C14" t="s">
        <v>720</v>
      </c>
      <c r="D14" t="s">
        <v>230</v>
      </c>
      <c r="E14" t="s">
        <v>230</v>
      </c>
      <c r="F14" t="s">
        <v>230</v>
      </c>
      <c r="G14" t="s">
        <v>27</v>
      </c>
      <c r="H14" t="s">
        <v>28</v>
      </c>
    </row>
    <row r="16" spans="1:9">
      <c r="A16" t="s">
        <v>161</v>
      </c>
      <c r="B16" t="s">
        <v>721</v>
      </c>
      <c r="C16" t="s">
        <v>722</v>
      </c>
      <c r="D16" t="s">
        <v>230</v>
      </c>
      <c r="E16" t="s">
        <v>756</v>
      </c>
      <c r="F16" t="s">
        <v>777</v>
      </c>
      <c r="G16" t="s">
        <v>28</v>
      </c>
      <c r="H16" t="s">
        <v>28</v>
      </c>
      <c r="I16" t="s">
        <v>27</v>
      </c>
    </row>
    <row r="17" spans="1:9">
      <c r="A17" t="s">
        <v>167</v>
      </c>
      <c r="C17" t="s">
        <v>723</v>
      </c>
      <c r="D17" t="s">
        <v>230</v>
      </c>
      <c r="E17" t="s">
        <v>230</v>
      </c>
      <c r="F17" t="s">
        <v>778</v>
      </c>
      <c r="G17" t="s">
        <v>28</v>
      </c>
      <c r="H17" t="s">
        <v>28</v>
      </c>
      <c r="I17" t="s">
        <v>27</v>
      </c>
    </row>
    <row r="18" spans="1:9">
      <c r="A18" t="s">
        <v>171</v>
      </c>
      <c r="C18" t="s">
        <v>724</v>
      </c>
      <c r="D18" t="s">
        <v>782</v>
      </c>
      <c r="E18" t="s">
        <v>783</v>
      </c>
      <c r="F18" t="s">
        <v>784</v>
      </c>
      <c r="G18" t="s">
        <v>28</v>
      </c>
      <c r="H18" t="s">
        <v>28</v>
      </c>
      <c r="I18" t="s">
        <v>28</v>
      </c>
    </row>
    <row r="20" spans="1:9">
      <c r="A20" t="s">
        <v>161</v>
      </c>
      <c r="B20" t="s">
        <v>725</v>
      </c>
      <c r="C20" t="s">
        <v>726</v>
      </c>
      <c r="D20" t="s">
        <v>230</v>
      </c>
      <c r="E20" t="s">
        <v>230</v>
      </c>
      <c r="F20" t="s">
        <v>757</v>
      </c>
      <c r="G20" t="s">
        <v>27</v>
      </c>
      <c r="H20" t="s">
        <v>28</v>
      </c>
      <c r="I20" t="s">
        <v>28</v>
      </c>
    </row>
    <row r="21" spans="1:9">
      <c r="A21" t="s">
        <v>167</v>
      </c>
      <c r="C21" t="s">
        <v>727</v>
      </c>
      <c r="D21" t="s">
        <v>230</v>
      </c>
      <c r="E21" t="s">
        <v>230</v>
      </c>
      <c r="F21" t="s">
        <v>758</v>
      </c>
      <c r="G21" t="s">
        <v>27</v>
      </c>
      <c r="H21" t="s">
        <v>28</v>
      </c>
      <c r="I21" t="s">
        <v>28</v>
      </c>
    </row>
    <row r="23" spans="1:9">
      <c r="A23" t="s">
        <v>161</v>
      </c>
      <c r="B23" t="s">
        <v>728</v>
      </c>
      <c r="C23" t="s">
        <v>729</v>
      </c>
      <c r="D23" t="s">
        <v>230</v>
      </c>
      <c r="E23" t="s">
        <v>759</v>
      </c>
      <c r="F23" t="s">
        <v>760</v>
      </c>
      <c r="G23" t="s">
        <v>27</v>
      </c>
      <c r="H23" t="s">
        <v>27</v>
      </c>
      <c r="I23" t="s">
        <v>27</v>
      </c>
    </row>
    <row r="24" spans="1:9">
      <c r="A24" t="s">
        <v>167</v>
      </c>
      <c r="C24" t="s">
        <v>730</v>
      </c>
      <c r="D24" t="s">
        <v>230</v>
      </c>
      <c r="E24" t="s">
        <v>761</v>
      </c>
      <c r="F24" t="s">
        <v>762</v>
      </c>
      <c r="G24" t="s">
        <v>27</v>
      </c>
      <c r="H24" t="s">
        <v>27</v>
      </c>
      <c r="I24" t="s">
        <v>27</v>
      </c>
    </row>
    <row r="25" spans="1:9">
      <c r="A25" t="s">
        <v>171</v>
      </c>
      <c r="C25" t="s">
        <v>731</v>
      </c>
      <c r="D25" t="s">
        <v>230</v>
      </c>
      <c r="E25" t="s">
        <v>763</v>
      </c>
      <c r="F25" t="s">
        <v>764</v>
      </c>
      <c r="G25" t="s">
        <v>27</v>
      </c>
      <c r="H25" t="s">
        <v>27</v>
      </c>
      <c r="I25" t="s">
        <v>27</v>
      </c>
    </row>
    <row r="26" spans="1:9">
      <c r="A26" t="s">
        <v>176</v>
      </c>
      <c r="C26" t="s">
        <v>732</v>
      </c>
      <c r="D26" t="s">
        <v>765</v>
      </c>
      <c r="E26" t="s">
        <v>766</v>
      </c>
      <c r="F26" t="s">
        <v>767</v>
      </c>
      <c r="G26" t="s">
        <v>27</v>
      </c>
      <c r="H26" t="s">
        <v>27</v>
      </c>
      <c r="I26" t="s">
        <v>27</v>
      </c>
    </row>
    <row r="27" spans="1:9">
      <c r="A27" t="s">
        <v>161</v>
      </c>
      <c r="B27" t="s">
        <v>786</v>
      </c>
      <c r="C27" t="s">
        <v>787</v>
      </c>
      <c r="D27" t="s">
        <v>788</v>
      </c>
      <c r="E27" t="s">
        <v>789</v>
      </c>
      <c r="F27" t="s">
        <v>790</v>
      </c>
      <c r="G27" t="s">
        <v>27</v>
      </c>
      <c r="H27" t="s">
        <v>27</v>
      </c>
      <c r="I27" t="s">
        <v>27</v>
      </c>
    </row>
    <row r="28" spans="1:9">
      <c r="A28" t="s">
        <v>167</v>
      </c>
      <c r="C28" t="s">
        <v>791</v>
      </c>
      <c r="D28" t="s">
        <v>792</v>
      </c>
      <c r="E28" t="s">
        <v>789</v>
      </c>
      <c r="F28" t="s">
        <v>793</v>
      </c>
      <c r="G28" t="s">
        <v>27</v>
      </c>
      <c r="H28" t="s">
        <v>27</v>
      </c>
      <c r="I28" t="s">
        <v>27</v>
      </c>
    </row>
    <row r="29" spans="1:9">
      <c r="A29" t="s">
        <v>171</v>
      </c>
      <c r="C29" t="s">
        <v>794</v>
      </c>
      <c r="D29" t="s">
        <v>795</v>
      </c>
      <c r="E29" t="s">
        <v>789</v>
      </c>
      <c r="F29" t="s">
        <v>796</v>
      </c>
      <c r="G29" t="s">
        <v>27</v>
      </c>
      <c r="H29" t="s">
        <v>27</v>
      </c>
      <c r="I29" t="s">
        <v>27</v>
      </c>
    </row>
    <row r="30" spans="1:9">
      <c r="A30" t="s">
        <v>176</v>
      </c>
      <c r="C30" t="s">
        <v>797</v>
      </c>
      <c r="D30" t="s">
        <v>788</v>
      </c>
      <c r="E30" t="s">
        <v>798</v>
      </c>
      <c r="F30" t="s">
        <v>799</v>
      </c>
      <c r="G30" t="s">
        <v>27</v>
      </c>
      <c r="H30" t="s">
        <v>27</v>
      </c>
      <c r="I30" t="s">
        <v>27</v>
      </c>
    </row>
    <row r="31" spans="1:9">
      <c r="A31" t="s">
        <v>179</v>
      </c>
      <c r="C31" t="s">
        <v>800</v>
      </c>
      <c r="D31" t="s">
        <v>792</v>
      </c>
      <c r="E31" t="s">
        <v>798</v>
      </c>
      <c r="F31" t="s">
        <v>801</v>
      </c>
      <c r="G31" t="s">
        <v>27</v>
      </c>
      <c r="H31" t="s">
        <v>27</v>
      </c>
      <c r="I31" t="s">
        <v>27</v>
      </c>
    </row>
    <row r="32" spans="1:9">
      <c r="A32" t="s">
        <v>270</v>
      </c>
      <c r="C32" t="s">
        <v>802</v>
      </c>
      <c r="D32" t="s">
        <v>792</v>
      </c>
      <c r="E32" t="s">
        <v>798</v>
      </c>
      <c r="F32" t="s">
        <v>803</v>
      </c>
      <c r="G32" t="s">
        <v>27</v>
      </c>
      <c r="H32" t="s">
        <v>27</v>
      </c>
      <c r="I32"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2026-09-01T01:31:33Z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