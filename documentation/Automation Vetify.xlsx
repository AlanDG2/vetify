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ike\vetify-automation\automation\documentation\"/>
    </mc:Choice>
  </mc:AlternateContent>
  <xr:revisionPtr revIDLastSave="0" documentId="13_ncr:1_{D41B8FEA-BD83-4820-998D-D9F3C411D1C2}" xr6:coauthVersionLast="47" xr6:coauthVersionMax="47" xr10:uidLastSave="{00000000-0000-0000-0000-000000000000}"/>
  <bookViews>
    <workbookView xWindow="780" yWindow="780" windowWidth="21600" windowHeight="12645" xr2:uid="{00000000-000D-0000-FFFF-FFFF00000000}"/>
  </bookViews>
  <sheets>
    <sheet name="Roadmap QA Automation" sheetId="1" r:id="rId1"/>
    <sheet name="Dashboard Ejecutivo" sheetId="2" r:id="rId2"/>
    <sheet name="Guía" sheetId="3" r:id="rId3"/>
  </sheets>
  <definedNames>
    <definedName name="_xlnm._FilterDatabase" localSheetId="0" hidden="1">'Roadmap QA Automation'!$A$1:$K$78</definedName>
    <definedName name="_xlnm.Print_Titles" localSheetId="0">'Roadmap QA Automation'!$1:$1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2" l="1"/>
  <c r="C29" i="2"/>
  <c r="D28" i="2"/>
  <c r="C28" i="2"/>
  <c r="D27" i="2"/>
  <c r="C27" i="2"/>
  <c r="D26" i="2"/>
  <c r="C26" i="2"/>
  <c r="D25" i="2"/>
  <c r="C25" i="2"/>
  <c r="D24" i="2"/>
  <c r="C24" i="2"/>
  <c r="D23" i="2"/>
  <c r="C23" i="2"/>
  <c r="D22" i="2"/>
  <c r="C22" i="2"/>
  <c r="D21" i="2"/>
  <c r="C21" i="2"/>
  <c r="D20" i="2"/>
  <c r="C20" i="2"/>
  <c r="D19" i="2"/>
  <c r="C19" i="2"/>
  <c r="D18" i="2"/>
  <c r="C18" i="2"/>
  <c r="D17" i="2"/>
  <c r="C17" i="2"/>
  <c r="D16" i="2"/>
  <c r="C16" i="2"/>
  <c r="D15" i="2"/>
  <c r="C15" i="2"/>
  <c r="D14" i="2"/>
  <c r="C14" i="2"/>
  <c r="D53" i="2"/>
  <c r="C53" i="2"/>
  <c r="D52" i="2"/>
  <c r="C52" i="2"/>
  <c r="D51" i="2"/>
  <c r="C51" i="2"/>
  <c r="D50" i="2"/>
  <c r="C50" i="2"/>
  <c r="D49" i="2"/>
  <c r="C49" i="2"/>
  <c r="D44" i="2"/>
  <c r="C44" i="2"/>
  <c r="D43" i="2"/>
  <c r="C43" i="2"/>
  <c r="D42" i="2"/>
  <c r="C42" i="2"/>
  <c r="C36" i="2"/>
  <c r="C35" i="2"/>
  <c r="C34" i="2"/>
  <c r="C33" i="2"/>
  <c r="C32" i="2"/>
  <c r="H8" i="2"/>
  <c r="E8" i="2"/>
  <c r="B8" i="2"/>
</calcChain>
</file>

<file path=xl/sharedStrings.xml><?xml version="1.0" encoding="utf-8"?>
<sst xmlns="http://schemas.openxmlformats.org/spreadsheetml/2006/main" count="789" uniqueCount="416">
  <si>
    <t>ID</t>
  </si>
  <si>
    <t>Etapa</t>
  </si>
  <si>
    <t>Canal</t>
  </si>
  <si>
    <t>Nombre de flujo a automatizar</t>
  </si>
  <si>
    <t>Descripción del flujo a automatizar</t>
  </si>
  <si>
    <t>Tipo de escenario</t>
  </si>
  <si>
    <t>Criticidad</t>
  </si>
  <si>
    <t>Prioridad</t>
  </si>
  <si>
    <t>Estado de automatización %</t>
  </si>
  <si>
    <t>Dependencias</t>
  </si>
  <si>
    <t>Observaciones</t>
  </si>
  <si>
    <t>QA-AUTO-001</t>
  </si>
  <si>
    <t>01. Compra</t>
  </si>
  <si>
    <t>B2C Vetify</t>
  </si>
  <si>
    <t>Compra de plan B2C</t>
  </si>
  <si>
    <t>Happy Path</t>
  </si>
  <si>
    <t>Alta</t>
  </si>
  <si>
    <t>QA-AUTO-002</t>
  </si>
  <si>
    <t>OSDE Adquirente</t>
  </si>
  <si>
    <t>Compra de plan OSDE Adquirente</t>
  </si>
  <si>
    <t>QA-AUTO-003</t>
  </si>
  <si>
    <t>OSDE Capitado</t>
  </si>
  <si>
    <t>Alta de plan capitado</t>
  </si>
  <si>
    <t>Procesar alta de un afiliado capitado OSDE y validar asociación del plan.</t>
  </si>
  <si>
    <t>QA-AUTO-004</t>
  </si>
  <si>
    <t>Flux Capitado</t>
  </si>
  <si>
    <t>Alta de plan Flux Capitado</t>
  </si>
  <si>
    <t>Procesar alta Flux Capitado y validar asociación de cliente, plan y mascota.</t>
  </si>
  <si>
    <t>QA-AUTO-005</t>
  </si>
  <si>
    <t>02. Backend / Salesforce / Engage</t>
  </si>
  <si>
    <t>QA-AUTO-006</t>
  </si>
  <si>
    <t>Validar creación del cliente adquirente y datos asociados posterior a compra.</t>
  </si>
  <si>
    <t>QA-AUTO-007</t>
  </si>
  <si>
    <t>Validar alta y asociación del cliente capitado con OSDE y plan correspondiente.</t>
  </si>
  <si>
    <t>QA-AUTO-008</t>
  </si>
  <si>
    <t>Validar alta del cliente y asociación correcta con plan Flux Capitado.</t>
  </si>
  <si>
    <t>QA-AUTO-009</t>
  </si>
  <si>
    <t>Validar que el cliente comprado quede correctamente generado/habilitado en Engage.</t>
  </si>
  <si>
    <t>QA-AUTO-010</t>
  </si>
  <si>
    <t>Validar generación del cliente adquirente en Engage posterior a la compra.</t>
  </si>
  <si>
    <t>QA-AUTO-011</t>
  </si>
  <si>
    <t>QA-AUTO-012</t>
  </si>
  <si>
    <t>Alta en Engage - Flux</t>
  </si>
  <si>
    <t>Validar generación/habilitación del cliente Flux en Engage.</t>
  </si>
  <si>
    <t>QA-AUTO-013</t>
  </si>
  <si>
    <t>Todos</t>
  </si>
  <si>
    <t>Asociación cliente-plan</t>
  </si>
  <si>
    <t>Validar que cliente, plan, vigencia y datos de contratación queden correctamente asociados.</t>
  </si>
  <si>
    <t>Validación</t>
  </si>
  <si>
    <t>QA-AUTO-015</t>
  </si>
  <si>
    <t>Datos incompletos / inconsistentes</t>
  </si>
  <si>
    <t>Validar comportamiento ante información obligatoria faltante o inconsistente en alta.</t>
  </si>
  <si>
    <t>Negativo</t>
  </si>
  <si>
    <t>Media</t>
  </si>
  <si>
    <t>QA-AUTO-016</t>
  </si>
  <si>
    <t>03. Usuario / Acceso</t>
  </si>
  <si>
    <t>Adquirente</t>
  </si>
  <si>
    <t>Validar creación del usuario en Engage para el mundo adquirente posterior al alta.</t>
  </si>
  <si>
    <t>QA-AUTO-017</t>
  </si>
  <si>
    <t>Capitado OSDE</t>
  </si>
  <si>
    <t>Alta de capitado - usuario</t>
  </si>
  <si>
    <t>Validar alta del capitado y habilitación de acceso asociado al afiliado.</t>
  </si>
  <si>
    <t>QA-AUTO-018</t>
  </si>
  <si>
    <t>Registración de usuario</t>
  </si>
  <si>
    <t>Registrar un usuario nuevo y validar creación correcta de credenciales.</t>
  </si>
  <si>
    <t>QA-AUTO-019</t>
  </si>
  <si>
    <t>Registración con usuario existente</t>
  </si>
  <si>
    <t>QA-AUTO-020</t>
  </si>
  <si>
    <t>Registración con datos inválidos</t>
  </si>
  <si>
    <t>Validar controles de formato y campos obligatorios durante registración.</t>
  </si>
  <si>
    <t>QA-AUTO-021</t>
  </si>
  <si>
    <t>Activación de usuario</t>
  </si>
  <si>
    <t>Activar usuario y validar habilitación de acceso a WebApp.</t>
  </si>
  <si>
    <t>QA-AUTO-022</t>
  </si>
  <si>
    <t>Creación de contraseña</t>
  </si>
  <si>
    <t>Crear contraseña cumpliendo reglas de seguridad y validar acceso posterior.</t>
  </si>
  <si>
    <t>QA-AUTO-023</t>
  </si>
  <si>
    <t>Contraseña inválida</t>
  </si>
  <si>
    <t>Validar rechazo de contraseña que no cumpla las reglas definidas.</t>
  </si>
  <si>
    <t>QA-AUTO-024</t>
  </si>
  <si>
    <t>Ingresar por primera vez y validar acceso, sesión y landing inicial.</t>
  </si>
  <si>
    <t>QA-AUTO-025</t>
  </si>
  <si>
    <t>Login con credenciales inválidas</t>
  </si>
  <si>
    <t>Validar comportamiento ante usuario/contraseña incorrectos.</t>
  </si>
  <si>
    <t>QA-AUTO-026</t>
  </si>
  <si>
    <t>Recuperación de contraseña</t>
  </si>
  <si>
    <t>Solicitar recuperación, completar proceso y validar acceso con nueva contraseña.</t>
  </si>
  <si>
    <t>QA-AUTO-027</t>
  </si>
  <si>
    <t>Recuperación con usuario inexistente</t>
  </si>
  <si>
    <t>Validar comportamiento ante solicitud de recuperación para usuario no registrado.</t>
  </si>
  <si>
    <t>QA-AUTO-028</t>
  </si>
  <si>
    <t>Cambio de contraseña</t>
  </si>
  <si>
    <t>Cambiar contraseña desde usuario autenticado y validar nuevo acceso.</t>
  </si>
  <si>
    <t>QA-AUTO-029</t>
  </si>
  <si>
    <t>Cambio con contraseña actual incorrecta</t>
  </si>
  <si>
    <t>Validar rechazo cuando la contraseña actual informada no coincide.</t>
  </si>
  <si>
    <t>QA-AUTO-030</t>
  </si>
  <si>
    <t>Logout</t>
  </si>
  <si>
    <t>Cerrar sesión y validar invalidación de sesión.</t>
  </si>
  <si>
    <t>QA-AUTO-031</t>
  </si>
  <si>
    <t>Acceso posterior a logout</t>
  </si>
  <si>
    <t>Intentar acceder a contenido autenticado luego de cerrar sesión.</t>
  </si>
  <si>
    <t>QA-AUTO-032</t>
  </si>
  <si>
    <t>Refresh de sesión</t>
  </si>
  <si>
    <t>Validar persistencia/comportamiento de sesión al refrescar la WebApp.</t>
  </si>
  <si>
    <t>Regresión</t>
  </si>
  <si>
    <t>QA-AUTO-033</t>
  </si>
  <si>
    <t>04. WebApp - Perfil y mascotas</t>
  </si>
  <si>
    <t>Visualización de perfil</t>
  </si>
  <si>
    <t>Ingresar al perfil y validar visualización de datos del cliente.</t>
  </si>
  <si>
    <t>QA-AUTO-034</t>
  </si>
  <si>
    <t>Edición de perfil</t>
  </si>
  <si>
    <t>Modificar datos editables y validar persistencia del cambio.</t>
  </si>
  <si>
    <t>QA-AUTO-035</t>
  </si>
  <si>
    <t>Visualización de mascotas</t>
  </si>
  <si>
    <t>Consultar mascotas asociadas y validar información.</t>
  </si>
  <si>
    <t>QA-AUTO-036</t>
  </si>
  <si>
    <t>Detalle de mascota</t>
  </si>
  <si>
    <t>Ingresar al detalle de mascota y validar datos, plan y servicios asociados.</t>
  </si>
  <si>
    <t>QA-AUTO-037</t>
  </si>
  <si>
    <t>Cambio/selección de mascota</t>
  </si>
  <si>
    <t>Cambiar mascota activa y validar actualización de contexto.</t>
  </si>
  <si>
    <t>QA-AUTO-038</t>
  </si>
  <si>
    <t>05. Credencial</t>
  </si>
  <si>
    <t>QA-AUTO-039</t>
  </si>
  <si>
    <t>Carga de credencial</t>
  </si>
  <si>
    <t>Cargar credencial/documentación de mascota y validar proceso end-to-end.</t>
  </si>
  <si>
    <t>QA-AUTO-040</t>
  </si>
  <si>
    <t>Validación de credencial</t>
  </si>
  <si>
    <t>QA-AUTO-041</t>
  </si>
  <si>
    <t>QA-AUTO-043</t>
  </si>
  <si>
    <t>Encuesta CE post carga</t>
  </si>
  <si>
    <t>Validar disparo de encuesta de experiencia posterior a carga de credencial.</t>
  </si>
  <si>
    <t>Baja</t>
  </si>
  <si>
    <t>QA-AUTO-044</t>
  </si>
  <si>
    <t>06. Servicios</t>
  </si>
  <si>
    <t>QA-AUTO-045</t>
  </si>
  <si>
    <t>QA-AUTO-047</t>
  </si>
  <si>
    <t>QA-AUTO-048</t>
  </si>
  <si>
    <t>07. Videollamada</t>
  </si>
  <si>
    <t>Solicitar videollamada</t>
  </si>
  <si>
    <t>Seleccionar mascota, servicio y solicitar videollamada end-to-end.</t>
  </si>
  <si>
    <t>QA-AUTO-049</t>
  </si>
  <si>
    <t>Ingreso a videollamada</t>
  </si>
  <si>
    <t>Validar redirección e ingreso correcto a la videollamada.</t>
  </si>
  <si>
    <t>QA-AUTO-050</t>
  </si>
  <si>
    <t>Finalización de videollamada</t>
  </si>
  <si>
    <t>Finalizar sesión y validar retorno/estado posterior.</t>
  </si>
  <si>
    <t>QA-AUTO-051</t>
  </si>
  <si>
    <t>Redirección incorrecta</t>
  </si>
  <si>
    <t>Validar que no ocurra redirect incorrecto durante el acceso a videollamada.</t>
  </si>
  <si>
    <t>QA-AUTO-052</t>
  </si>
  <si>
    <t>Refresh durante videollamada</t>
  </si>
  <si>
    <t>Validar comportamiento ante refresh y persistencia/cierre de sesión.</t>
  </si>
  <si>
    <t>QA-AUTO-053</t>
  </si>
  <si>
    <t>Error de acceso a videollamada</t>
  </si>
  <si>
    <t>Validar mensaje y comportamiento ante indisponibilidad/error del servicio.</t>
  </si>
  <si>
    <t>QA-AUTO-054</t>
  </si>
  <si>
    <t>08. Prestadores / Red</t>
  </si>
  <si>
    <t>Acceso al mapa de veterinarias</t>
  </si>
  <si>
    <t>Ingresar al mapa y validar carga correcta.</t>
  </si>
  <si>
    <t>QA-AUTO-055</t>
  </si>
  <si>
    <t>Búsqueda de veterinarias</t>
  </si>
  <si>
    <t>Buscar prestadores por ubicación/filtros disponibles.</t>
  </si>
  <si>
    <t>QA-AUTO-056</t>
  </si>
  <si>
    <t>Detalle de veterinaria</t>
  </si>
  <si>
    <t>Ingresar al detalle y validar información del prestador.</t>
  </si>
  <si>
    <t>QA-AUTO-057</t>
  </si>
  <si>
    <t>Mapa sin resultados</t>
  </si>
  <si>
    <t>Validar comportamiento ante búsqueda sin prestadores disponibles.</t>
  </si>
  <si>
    <t>QA-AUTO-058</t>
  </si>
  <si>
    <t>Atención de Red</t>
  </si>
  <si>
    <t>Consultar información de atención de red y validar contenido correspondiente.</t>
  </si>
  <si>
    <t>QA-AUTO-059</t>
  </si>
  <si>
    <t>09. Cobertura y condicionados</t>
  </si>
  <si>
    <t>Consulta de cobertura</t>
  </si>
  <si>
    <t>Consultar cobertura del plan y validar información correspondiente.</t>
  </si>
  <si>
    <t>QA-AUTO-060</t>
  </si>
  <si>
    <t>Consulta de condicionado</t>
  </si>
  <si>
    <t>Acceder al condicionado/PDF correspondiente al plan.</t>
  </si>
  <si>
    <t>QA-AUTO-061</t>
  </si>
  <si>
    <t>Descarga de condicionado</t>
  </si>
  <si>
    <t>Descargar documento y validar disponibilidad/archivo correcto.</t>
  </si>
  <si>
    <t>QA-AUTO-062</t>
  </si>
  <si>
    <t>Plan sin condicionado disponible</t>
  </si>
  <si>
    <t>Validar comportamiento cuando el documento no está disponible.</t>
  </si>
  <si>
    <t>QA-AUTO-063</t>
  </si>
  <si>
    <t>10. Reintegros</t>
  </si>
  <si>
    <t>Acceso a reintegros</t>
  </si>
  <si>
    <t>Ingresar al módulo/landing de reintegros y validar acceso.</t>
  </si>
  <si>
    <t>QA-AUTO-064</t>
  </si>
  <si>
    <t>Solicitud de reintegro</t>
  </si>
  <si>
    <t>Completar solicitud de reintegro end-to-end.</t>
  </si>
  <si>
    <t>QA-AUTO-065</t>
  </si>
  <si>
    <t>Carga de documentación para reintegro</t>
  </si>
  <si>
    <t>Adjuntar comprobantes requeridos y validar envío.</t>
  </si>
  <si>
    <t>QA-AUTO-066</t>
  </si>
  <si>
    <t>Validación de datos de reintegro</t>
  </si>
  <si>
    <t>Validar campos obligatorios, formatos y reglas del formulario.</t>
  </si>
  <si>
    <t>QA-AUTO-067</t>
  </si>
  <si>
    <t>Reintegro con datos inválidos</t>
  </si>
  <si>
    <t>Validar rechazo/mensaje ante datos incorrectos.</t>
  </si>
  <si>
    <t>QA-AUTO-068</t>
  </si>
  <si>
    <t>Consulta de estado de reintegro</t>
  </si>
  <si>
    <t>Consultar estado de una solicitud y validar información mostrada.</t>
  </si>
  <si>
    <t>QA-AUTO-069</t>
  </si>
  <si>
    <t>11. Vetify Plus / Planes</t>
  </si>
  <si>
    <t>Visualización de Vetify Plus</t>
  </si>
  <si>
    <t>Validar visualización de Vetify Plus únicamente cuando corresponda.</t>
  </si>
  <si>
    <t>QA-AUTO-070</t>
  </si>
  <si>
    <t>Acceso a Vetify Plus</t>
  </si>
  <si>
    <t>Validar acceso y comportamiento de funcionalidades asociadas.</t>
  </si>
  <si>
    <t>QA-AUTO-071</t>
  </si>
  <si>
    <t>Contratar otro plan</t>
  </si>
  <si>
    <t>Iniciar flujo de contratación de otro plan desde WebApp.</t>
  </si>
  <si>
    <t>QA-AUTO-072</t>
  </si>
  <si>
    <t>Plan no elegible para usuario</t>
  </si>
  <si>
    <t>Validar que un usuario no elegible no pueda acceder/contratar opciones no correspondientes.</t>
  </si>
  <si>
    <t>12. Notificaciones</t>
  </si>
  <si>
    <t>QA-AUTO-076</t>
  </si>
  <si>
    <t>13. Regresión transversal</t>
  </si>
  <si>
    <t>Persistencia de sesión entre módulos</t>
  </si>
  <si>
    <t>Navegar entre módulos sin perder autenticación ni contexto.</t>
  </si>
  <si>
    <t>QA-AUTO-077</t>
  </si>
  <si>
    <t>Navegación principal</t>
  </si>
  <si>
    <t>Validar menú, rutas y navegación entre funcionalidades críticas.</t>
  </si>
  <si>
    <t>QA-AUTO-078</t>
  </si>
  <si>
    <t>Acceso directo a ruta protegida</t>
  </si>
  <si>
    <t>Ingresar directamente a URL protegida sin autenticación y validar control de acceso.</t>
  </si>
  <si>
    <t>QA-AUTO-079</t>
  </si>
  <si>
    <t>Compatibilidad de permisos por plan</t>
  </si>
  <si>
    <t>Validar que las funcionalidades visibles/respondan según plan y tipo de cliente.</t>
  </si>
  <si>
    <t>QA AUTOMATION | VETIFY</t>
  </si>
  <si>
    <t>Resumen ejecutivo</t>
  </si>
  <si>
    <t>Total escenarios</t>
  </si>
  <si>
    <t>% automatizado total</t>
  </si>
  <si>
    <t>Escenarios 100%</t>
  </si>
  <si>
    <t>Automatización por etapa</t>
  </si>
  <si>
    <t>Escenarios</t>
  </si>
  <si>
    <t>% automatizado</t>
  </si>
  <si>
    <t>Estado de automatización</t>
  </si>
  <si>
    <t>Estado</t>
  </si>
  <si>
    <t>Cantidad</t>
  </si>
  <si>
    <t>0%</t>
  </si>
  <si>
    <t>25%</t>
  </si>
  <si>
    <t>50%</t>
  </si>
  <si>
    <t>75%</t>
  </si>
  <si>
    <t>100%</t>
  </si>
  <si>
    <t>Automatización por criticidad</t>
  </si>
  <si>
    <t>Automatización por canal</t>
  </si>
  <si>
    <t>GUÍA DE USO</t>
  </si>
  <si>
    <t>Objetivo</t>
  </si>
  <si>
    <t>Roadmap editable de escenarios críticos de QA Automation para Vetify, ordenado end-to-end desde compra/alta hasta navegación y servicios.</t>
  </si>
  <si>
    <t>Escala de automatización</t>
  </si>
  <si>
    <t>No iniciado</t>
  </si>
  <si>
    <t>Escenario definido / preparación</t>
  </si>
  <si>
    <t>Automatización en desarrollo</t>
  </si>
  <si>
    <t>Automatizado, pendiente de estabilización</t>
  </si>
  <si>
    <t>Automatizado y estable</t>
  </si>
  <si>
    <t>Impacta venta, alta, acceso o servicio principal / impacto económico</t>
  </si>
  <si>
    <t>Funcionalidad importante con workaround o impacto acotado</t>
  </si>
  <si>
    <t>Funcionalidad secundaria/informativa o de bajo impacto</t>
  </si>
  <si>
    <t>Regla del dashboard</t>
  </si>
  <si>
    <t>El dashboard toma los porcentajes de la hoja Roadmap QA Automation. Actualizá la columna Estado de automatización % y Excel recalcula los indicadores.</t>
  </si>
  <si>
    <t xml:space="preserve">Realizar compra de un plan Vetify </t>
  </si>
  <si>
    <t>Validar creación del cliente en Engage a partir de una compra B2C.</t>
  </si>
  <si>
    <t xml:space="preserve">Validar generación/habilitación del cliente capitado </t>
  </si>
  <si>
    <t>Intentar registrar un usuario  como nuevo ya existente y validar mensaje/comportamiento esperado.</t>
  </si>
  <si>
    <t xml:space="preserve">Tipo de cliente </t>
  </si>
  <si>
    <t xml:space="preserve">Primer login Webapp </t>
  </si>
  <si>
    <t>Visualización de credencial Empty</t>
  </si>
  <si>
    <t>Visualizar las"n " credenciales ,según los planes contratados por el cliente.</t>
  </si>
  <si>
    <t xml:space="preserve">Validar comportamiento ante credencial esperado </t>
  </si>
  <si>
    <t>Cargar Foto/ dato inválido y validar rechazo y mensaje.</t>
  </si>
  <si>
    <t>Visualización de Tour onboarding por primera vez</t>
  </si>
  <si>
    <t xml:space="preserve">Ver elon boarding la primera vez que se logue en cualquier ya sea mobile o desktop </t>
  </si>
  <si>
    <t xml:space="preserve">Tour onboarding en segundo logueo  </t>
  </si>
  <si>
    <t>El loguearse por segunda vez en cualquier dispositivo no debe visualizarse el onboarding</t>
  </si>
  <si>
    <t>Credencial cargada con errores</t>
  </si>
  <si>
    <t xml:space="preserve">11. Vetify Plus </t>
  </si>
  <si>
    <t>11. Vetify Plus</t>
  </si>
  <si>
    <t xml:space="preserve">Todos menos OSDE </t>
  </si>
  <si>
    <t xml:space="preserve">06. Servicios Emergencias </t>
  </si>
  <si>
    <t>Visualizar  en el menu y Quick Access</t>
  </si>
  <si>
    <t xml:space="preserve">Ingresar a la opción y visualizar la información del servico </t>
  </si>
  <si>
    <t xml:space="preserve">06. Servicios Asistencia presencial </t>
  </si>
  <si>
    <t>06. Servicios Asistencia a domicilio</t>
  </si>
  <si>
    <t xml:space="preserve">06. Historial de Atención </t>
  </si>
  <si>
    <t xml:space="preserve">Cancelar turno ya agendado </t>
  </si>
  <si>
    <t xml:space="preserve">Permitir la cancelación del turno </t>
  </si>
  <si>
    <t xml:space="preserve">02. Backend  / Engage/ Sise </t>
  </si>
  <si>
    <t>Creación de usuario en webapp  - adquirente</t>
  </si>
  <si>
    <t xml:space="preserve">02. Backend  / Sise </t>
  </si>
  <si>
    <t xml:space="preserve">02. Backend  /  Sise </t>
  </si>
  <si>
    <t xml:space="preserve">Alta de cliente </t>
  </si>
  <si>
    <t xml:space="preserve">Alta de cliente adquirente </t>
  </si>
  <si>
    <t xml:space="preserve">Alta de cliente capitado </t>
  </si>
  <si>
    <t xml:space="preserve">Alta de cliente Flux </t>
  </si>
  <si>
    <t xml:space="preserve">Alta </t>
  </si>
  <si>
    <t>Alta  - capitado osde</t>
  </si>
  <si>
    <t>QA-AUTO-080</t>
  </si>
  <si>
    <t>QA-AUTO-081</t>
  </si>
  <si>
    <t>QA-AUTO-082</t>
  </si>
  <si>
    <t>QA-AUTO-083</t>
  </si>
  <si>
    <t>Incluye TS-01 a TS-07 de Flujo de Compra (compra exitosa, fallida, asociacion con usuario existente, cupones, formulario pasos 1-3). 19/31 CPs automatizados. Principal freno: TS-04 Cupones (1/7) por falta de un cupon de prueba real en el ambiente de QA -- es un tema de datos/negocio, no de codigo.</t>
  </si>
  <si>
    <t>Incluye TS-01 a TS-07. 16/31 CPs automatizados. Mismo freno de cupon que B2C (TS-04, 1/7). Pendiente de confirmar: TS-01 (compra exitosa) figura 0/8 en Casos de Prueba.xlsx, pero hoy (29/08) hay un test real de compra exitosa para OSDE Adquirente que corre y pasa -- posible desactualizacion del tracker tactico, no de este roadmap.</t>
  </si>
  <si>
    <t>5/5 CPs automatizados (TS-01 Proceso de Compra + TS-02 Validacion de formulario).</t>
  </si>
  <si>
    <t>5/5 CPs automatizados, pero la unica cuenta del pool tageada Flux Capitado resulto ser un producto OSDE real bajo la etiqueta equivocada (ver qa-workspace/known-issues.md). El 100% no confirma todavia cobertura del sub-segmento Flux genuino.</t>
  </si>
  <si>
    <t>Gestion de Usuario, bloque Adquirentes OSDE, TS-01 Registracion: 5/5 CPs automatizados.</t>
  </si>
  <si>
    <t>Gestion de Usuario, bloque Capitado OSDE, TS-01 Registracion: 5/5 CPs automatizados.</t>
  </si>
  <si>
    <t>TS-01 Registracion CP-04 (Registracion exitosa) -- patron identico automatizado en los 4 productos (B2C, Adquirente OSDE, Capitado OSDE, Capitado Flux).</t>
  </si>
  <si>
    <t>TS-01 Registracion CP-01 (Email ya existente) -- automatizado en los 4 productos.</t>
  </si>
  <si>
    <t>TS-01 Registracion CP-02 (Contrasena debil) + CP-05 (Campos obligatorios) -- automatizados en los 4 productos.</t>
  </si>
  <si>
    <t>TS-03 Activacion de Cuenta completo: 5/5 CPs automatizados (campos obligatorios, tipos de documento, documento no existente/ya registrado, activacion exitosa).</t>
  </si>
  <si>
    <t>Cubierto implicitamente por TS-01 CP-04 (Registracion exitosa, incluye setear contrasena valida). No hay un CP dedicado solo a crear contrasena, pero el camino feliz esta probado.</t>
  </si>
  <si>
    <t>TS-01 Registracion CP-02 (Contrasena debil) -- automatizado.</t>
  </si>
  <si>
    <t>TS-02 Iniciar Sesion CP-03 (Email y contrasena correcta) -- automatizado.</t>
  </si>
  <si>
    <t>TS-02 Iniciar Sesion CP-01 (Contrasena incorrecta) + CP-02 (Email no existente) -- automatizados.</t>
  </si>
  <si>
    <t>Incluye 2 sub-flujos con estados distintos: solicitar el reset (TS-04 IMAS-3215, 5/5 automatizado) funciona; completar el cambio via el link (TS-05 Cambio de Contrasena, 0/5) esta bloqueado por el problema de rate-limit/invalidacion de ticket documentado 2026-08-29. 5/10 CPs combinados.</t>
  </si>
  <si>
    <t>TS-04 Olvide contrasena CP-03 (Negativo, email no registrado) -- automatizado.</t>
  </si>
  <si>
    <t>Gap real: no existe un CP dedicado a cambiar contrasena desde un usuario ya autenticado (distinto del reseteo via email) en ninguna hoja de Casos de Prueba.xlsx revisada hasta ahora (Flujo de Compra, Gestion de Usuario, Perfil).</t>
  </si>
  <si>
    <t>Mismo gap que la fila anterior -- no hay CP de cambio de contrasena logueado, por lo tanto tampoco de su variante de rechazo.</t>
  </si>
  <si>
    <t>Gap real: no hay un CP dedicado a Logout en ninguna hoja revisada. Nota aparte: existe un bug conocido de logout en Prestadores (BUG-008, Auth0 no cierra sesion) pero es un hallazgo puntual, no una suite de casos de Logout general.</t>
  </si>
  <si>
    <t>Gap real: no hay CP de acceso a contenido protegido tras logout en las hojas revisadas.</t>
  </si>
  <si>
    <t>Gap real: no hay CP de persistencia de sesion ante refresh en las hojas revisadas.</t>
  </si>
  <si>
    <t>Gap real: no hay ningun CP de Tour de onboarding en Casos de Prueba.xlsx todavia -- funcionalidad nunca disenada como caso de prueba.</t>
  </si>
  <si>
    <t>Mismo gap que la fila anterior.</t>
  </si>
  <si>
    <t>Hoja Perfil, CP Visualizacion del perfil -- automatizado (desktop y mobile).</t>
  </si>
  <si>
    <t>Hoja Perfil: cambiar foto (automatizado) y actualizar telefono (automatizado) SI estan cubiertos. Cambiar DNI es el punto debil: 2 de 4 CPs ni siquiera estan escritos todavia (marcados DBD en el Excel tactico) y los otros 2 estan escritos pero no automatizados. 2/6 CPs reales automatizados.</t>
  </si>
  <si>
    <t>Gap real: no hay CP dedicado a ver el detalle completo de una mascota (datos, plan, servicios asociados) en ninguna hoja revisada.</t>
  </si>
  <si>
    <t>Gap real: no hay CP dedicado a cambiar la mascota activa/contexto. Existe un selector de mascota en otras pantallas (ej. videollamada) pero sin CP propio de este comportamiento.</t>
  </si>
  <si>
    <t>Hoja Credenciales, TS-01 Visualizacion de Planes (4/4) + TS-04 Ver Credenciales (2/2) -- 6/6 CPs automatizados.</t>
  </si>
  <si>
    <t>Hoja Credenciales, TS-03 Crear Credencial, CP-01 (cargar con foto) -- automatizado. CP-02 (cargar sin foto) esta marcado [Obsoleto] en el Excel tactico, excluido del calculo.</t>
  </si>
  <si>
    <t>Hoja Credenciales, TS-02 Cargar credencial - Validacion de Pasos, subconjunto de navegacion/campos (18 CPs, excluyendo los 5 de camara/formato/tamano que se cuentan en la fila de errores) -- 18/18 automatizados.</t>
  </si>
  <si>
    <t>Gap real: no hay CP dedicado al disparo de la encuesta de experiencia (CE) post carga de credencial en ninguna hoja revisada.</t>
  </si>
  <si>
    <t>Hoja Credenciales, TS-02, subconjunto de errores (columna Automatizado Desktop): fecha futura (No), camara no disponible (No), camara disponible (No -- limitacion real de dispositivo, no gap de automatizacion), formato invalido (Si), imagen demasiado grande (Si). 2/5 CPs en desktop. Aparte: el mismo caso de imagen demasiado grande tiene un test MOBILE escrito el 2026-08-29 pero todavia sin verificar en vivo (columna Automatizado Mobile de esta misma hoja sigue en No) -- no afecta este numero, que es solo desktop.</t>
  </si>
  <si>
    <t>Hoja Videollamadas, combinando IMAS-3899 (5 de 5, bloqueo sin credencial), IMAS-3174 (8 de 8, flujo 1 mascota), IMAS-3889 (17 de 18, multi-mascota y adjuntos, unico No es un caso de bypass de validacion directo a API), IMAS-3909 (4 de 4, limites de turnos) e IMAS-4023 (4 de 4, errores de carga de archivo, excluyendo 1 CP marcado Fuera de alcance). 38 de 39 CPs.</t>
  </si>
  <si>
    <t>Los 2 CPs relacionados (IMAS-3894 CP05 y CP06) estan marcados explicitamente como Brecha de cobertura y Fuera de alcance en Casos de Prueba.xlsx -- salir de la videoconsulta (sala de espera, ingreso y salida) fue una decision ya tomada de no automatizar, no un gap pendiente de priorizar.</t>
  </si>
  <si>
    <t>Mismo caso que la fila anterior (IMAS-3894 CP05 y CP06, Brecha de cobertura y Fuera de alcance) -- ingresar a la videoconsulta en si (mas alla del turno agendado) fue decision de no automatizar, no gap pendiente.</t>
  </si>
  <si>
    <t>Hoja Videollamadas, IMAS-3894 CP08, caso de Regresion: la assistanceId vieja no ofrece acciones habilitadas tras reprogramar -- automatizado.</t>
  </si>
  <si>
    <t>Gap real: no hay CP de refresh de pagina durante una videollamada activa en ninguna hoja revisada.</t>
  </si>
  <si>
    <t>Gap real: el unico negativo relacionado (IMAS-3899 CP05, backend rechaza turno sin credencial) ya esta contado en la fila de Solicitar videollamada -- no hay CP de error o indisponibilidad del servicio de videollamada en si.</t>
  </si>
  <si>
    <t>Hoja Videollamadas, IMAS-3894 CP03: cancelacion con doble check -- automatizado.</t>
  </si>
  <si>
    <t>Revisado tras encontrar la hoja Misceláneas: CP-01 (Mobile) confirma ver al menos una mascota en Mis mascotas -- automatizado. Sumado a la evidencia indirecta ya vista en Credenciales (plan con y sin mascota asociada). Sigue siendo smoke test (ve al menos una), no valida el detalle completo del listado, pero ya no es un gap de tracking como se penso antes de revisar esta hoja.</t>
  </si>
  <si>
    <t>Gap en el tracker tactico: no existe una hoja de Casos de Prueba.xlsx dedicada a validaciones de backend Salesforce o Engage. Nota importante: el codigo de Flujo de Compra (VetifyCheckoutPage.completePersonalData) SI valida partes del payload enviado a la API de Salesforce como parte del test de compra, pero eso no esta documentado como CP propio -- posible cobertura parcial no trackeada, requiere revision dedicada antes de confirmar un numero distinto de 0.</t>
  </si>
  <si>
    <t>Hoja Miscelaneas, CP-04 (Mobile): ve las tarjetas de Emergencias y Asistencia presencial en Servicios -- automatizado.</t>
  </si>
  <si>
    <t>Hoja Miscelaneas, CP-04 (Mobile): ve las tarjetas de Emergencias y Asistencia presencial en Servicios -- automatizado (mismo CP que Emergencias).</t>
  </si>
  <si>
    <t>Hoja Miscelaneas, CP-08 (Mobile): Llamanos por telefono abre el marcador del sistema -- automatizado.</t>
  </si>
  <si>
    <t>Hoja Miscelaneas, CP-06 (Mobile): muestra la historia clinica de una mascota -- automatizado.</t>
  </si>
  <si>
    <t>Gap real: no hay ningun CP sobre el mapa de prestadores o veterinarias en ninguna hoja de Casos de Prueba.xlsx (incluyendo Miscelaneas, que no lo menciona).</t>
  </si>
  <si>
    <t>Hoja Miscelaneas, CP-02 (Mobile): ve al menos un plan en Planes y coberturas -- smoke test que confirma que la seccion renderiza con datos, no valida el detalle completo de cobertura.</t>
  </si>
  <si>
    <t>Gap real: no hay CP sobre acceder al documento de condicionado en ninguna hoja.</t>
  </si>
  <si>
    <t>Gap real: no hay CP sobre descargar el condicionado en ninguna hoja.</t>
  </si>
  <si>
    <t>Gap real: no hay CP sobre el caso de plan sin condicionado disponible en ninguna hoja.</t>
  </si>
  <si>
    <t>Hoja Reintegros, CP-01 (Mobile, unico CP de toda la hoja): muestra la seccion de cuentas de acreditacion -- smoke test de acceso, no ejercita el flujo real de reintegros.</t>
  </si>
  <si>
    <t>Gap real y significativo: la hoja Reintegros de Casos de Prueba.xlsx tiene un solo CP en total (smoke test mobile de acceso). Todo el flujo de solicitud fue probado extensamente pero de forma MANUAL (reintegros-backoffice.ike.qa, ver qa-workspace/decision-log.md IMAS-4101 y relacionados) -- nunca se automatizo como test de Playwright.</t>
  </si>
  <si>
    <t>Mismo gap que la fila anterior -- carga de documentacion probada manualmente, no automatizada.</t>
  </si>
  <si>
    <t>Mismo gap -- validacion de campos del formulario probada manualmente, no automatizada.</t>
  </si>
  <si>
    <t>Mismo gap -- casos de datos invalidos probados manualmente, no automatizados.</t>
  </si>
  <si>
    <t>Mismo gap -- consulta de estado probada manualmente (incluye el hallazgo activo BUG-015, rechazo directo de Calidad), no automatizada.</t>
  </si>
  <si>
    <t>Hoja Miscelaneas, CP-07 (Mobile): abre vetifyplus.com en el navegador del sistema -- automatizado.</t>
  </si>
  <si>
    <t>Hoja Miscelaneas, CP-07 (Mobile): mismo CP que la fila anterior, confirma el acceso -- automatizado.</t>
  </si>
  <si>
    <t>Gap real: no hay CP sobre contratar un plan adicional desde la WebApp en ninguna hoja.</t>
  </si>
  <si>
    <t>Gap real: no hay CP sobre el caso de plan no elegible para el usuario en ninguna hoja.</t>
  </si>
  <si>
    <t>Gap real de un CP dedicado: no hay una suite de regresion transversal propia en Casos de Prueba.xlsx. Nota: esto se ejercita de forma indirecta cada vez que corre cualquier otro spec (login, navegacion), pero sin una aserción dedicada que lo verifique como su propio caso.</t>
  </si>
  <si>
    <t>QA-AUTO-084</t>
  </si>
  <si>
    <t>14. Control de Acceso</t>
  </si>
  <si>
    <t>Bloqueo de acceso sin ningun plan</t>
  </si>
  <si>
    <t>Validar que un usuario sin plan de Vetify ni de Ike no puede acceder a la WebApp de Ike.</t>
  </si>
  <si>
    <t>Hoja Control de Acceso (IMAS-3742), CP-04: No, sin automatizar. Bloqueado por IMP-005: no hay usuarios de prueba con cuenta en el sistema de identidad de Ike, provisionar no es autoservicio.</t>
  </si>
  <si>
    <t>QA-AUTO-085</t>
  </si>
  <si>
    <t>Acceso exclusivo por tipo de plan</t>
  </si>
  <si>
    <t>Validar que el acceso a la WebApp de Ike depende del tipo de plan: solo Vetify no accede, plan de Ike si accede, ambos planes acceden.</t>
  </si>
  <si>
    <t>Validacion</t>
  </si>
  <si>
    <t>Hoja Control de Acceso, CP-01 (marcado No valida CA01, no prueba lo que dice), CP-02, CP-03, CP-06: los 4 relacionados a esta matriz de acceso estan sin validar de verdad. Mismo bloqueo IMP-005.</t>
  </si>
  <si>
    <t>QA-AUTO-086</t>
  </si>
  <si>
    <t>Regresion: no afecta otros tipos de usuario</t>
  </si>
  <si>
    <t>Validar que el nuevo control de acceso no rompe el login de usuarios que no estan afectados por este cambio.</t>
  </si>
  <si>
    <t>Regresion</t>
  </si>
  <si>
    <t>Hoja Control de Acceso, CP-05: No, sin automatizar. Mismo bloqueo IMP-005.</t>
  </si>
  <si>
    <t>QA-AUTO-087</t>
  </si>
  <si>
    <t>15. Disponibilidad del Sistema</t>
  </si>
  <si>
    <t>Aviso de indisponibilidad general</t>
  </si>
  <si>
    <t>Validar que la pantalla de indisponibilidad aparece cuando el sistema entero cae y se oculta al restablecerse, de forma consistente en todas las pantallas.</t>
  </si>
  <si>
    <t>Hoja Sistema Caido (IMAS-3860), CP-01 y CP-02: 2 de 2 CPs automatizados.</t>
  </si>
  <si>
    <t>QA-AUTO-088</t>
  </si>
  <si>
    <t>Aviso de indisponibilidad de funcionalidad puntual</t>
  </si>
  <si>
    <t>Validar el modal de funcionalidad no disponible (ej. Videollamada caida) y que el resto de la app sigue operativa.</t>
  </si>
  <si>
    <t>Hoja Sistema Caido, CP-03 y CP-04: 2 de 2 CPs automatizados.</t>
  </si>
  <si>
    <t>QA-AUTO-089</t>
  </si>
  <si>
    <t>Canales de contacto (Ayuda)</t>
  </si>
  <si>
    <t>Validar que se muestran los canales de contacto (Emergencias y Atencion al cliente) en la seccion de Ayuda.</t>
  </si>
  <si>
    <t>Hoja Miscelaneas, CP-05 (Mobile): automatizado. Fila agregada porque no tenia equivalente en el roadmap original.</t>
  </si>
  <si>
    <t>QA-AUTO-090</t>
  </si>
  <si>
    <t>Facturas - estado vacio</t>
  </si>
  <si>
    <t>Validar que se muestra el estado vacio correcto cuando el usuario no tiene facturas cargadas.</t>
  </si>
  <si>
    <t>Hoja Miscelaneas, CP-09 (Mobile): automatizado. Fila agregada porque no tenia equivalente en el roadmap original -- es un smoke test de estado vacio, no ejercita el flujo real de reintegro.</t>
  </si>
  <si>
    <t>QA-AUTO-091</t>
  </si>
  <si>
    <t>16. Flujos End-to-End</t>
  </si>
  <si>
    <t>Flujo completo: Creacion de usuario, Compra y Reseteo de contrasena</t>
  </si>
  <si>
    <t>Validar el journey completo del cliente en una sola corrida continua: registrarse, activar la cuenta, comprar un plan y, en otro momento, resetear la contrasena con exito.</t>
  </si>
  <si>
    <t>QA-AUTO-018, QA-AUTO-021, QA-AUTO-001, QA-AUTO-026</t>
  </si>
  <si>
    <t>IMPORTANTE: cada paso por separado SI esta automatizado y pasando (Registracion 100%, Activacion 100%, Compra B2C 50%, Reseteo de contrasena 50%), pero NINGUN test encadena las 4 etapas en una sola corrida continua -- son specs independientes con cuentas distintas. El 0% refleja el journey end-to-end tal como lo pidio la PO, no la cobertura de las partes.</t>
  </si>
  <si>
    <t>QA-AUTO-092</t>
  </si>
  <si>
    <t>Flujo completo: Compra, Carga de credencial y Solicitud de videollamada</t>
  </si>
  <si>
    <t>Validar el journey completo desde que el cliente compra un plan hasta que consigue agendar una videollamada, pasando por cargar la credencial de su mascota, en una sola corrida continua.</t>
  </si>
  <si>
    <t>QA-AUTO-001, QA-AUTO-039, QA-AUTO-048</t>
  </si>
  <si>
    <t>Mismo caso que la fila anterior: las 3 partes estan automatizadas por separado (Compra 50%, Carga de credencial 100%, Solicitar videollamada 100%) pero nunca encadenadas en un solo test end-to-end. Candidato natural a automatizar primero entre los 2 journeys nuevos, porque sus 3 partes ya estan en mejor estado individualmente.</t>
  </si>
  <si>
    <t>QA-AUTO-093</t>
  </si>
  <si>
    <t>Banner Cooper en Home</t>
  </si>
  <si>
    <t>Validar que el banner de Cooper se muestra en Home para los 3 segmentos (Vetify B2C, OSDE Capitado, OSDE Adquirente).</t>
  </si>
  <si>
    <t>IMAS-4356/IMAS-4435. tests/projects/vetify-webapp/navigation.spec.ts TS-05, 3 casos, verificado Desktop y Mobile (Android).</t>
  </si>
  <si>
    <t>QA-AUTO-094</t>
  </si>
  <si>
    <t>Menu Beneficios - segmentacion Cooper/Vetify PLUS</t>
  </si>
  <si>
    <t>Validar que el menu lateral (seccion Beneficios) muestra Cooper y Vetify PLUS para B2C, y solo Cooper para OSDE Capitado.</t>
  </si>
  <si>
    <t>IMAS-4356/IMAS-4435. TS-04 TC-01/02/03, verificado Desktop y Mobile. OSDE Adquirente no automatizado a proposito: la segmentacion real depende del policyId (producto real) de la cuenta, no del segmento -- ver docs/conocimiento-sistema.md.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</si>
</sst>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
  </numFmts>
  <fonts count="8" x14ac:knownFonts="1">
    <font>
      <sz val="11"/>
      <color theme="1"/>
      <name val="Calibri"/>
      <family val="2"/>
      <scheme val="minor"/>
    </font>
    <font>
      <b/>
      <sz val="11"/>
      <color rgb="FFFFFFFF"/>
      <name val="Calibri"/>
    </font>
    <font>
      <b/>
      <sz val="24"/>
      <color rgb="FFFFFFFF"/>
      <name val="Calibri"/>
    </font>
    <font>
      <b/>
      <sz val="16"/>
      <color rgb="FF17365D"/>
      <name val="Calibri"/>
    </font>
    <font>
      <b/>
      <sz val="20"/>
      <color rgb="FF17365D"/>
      <name val="Calibri"/>
    </font>
    <font>
      <b/>
      <sz val="14"/>
      <color rgb="FF17365D"/>
      <name val="Calibri"/>
    </font>
    <font>
      <b/>
      <sz val="11"/>
      <color rgb="FF17365D"/>
      <name val="Calibri"/>
    </font>
    <font>
      <b/>
      <sz val="11"/>
      <color rgb="FF1F2937"/>
      <name val="Calibri"/>
    </font>
  </fonts>
  <fills count="9">
    <fill>
      <patternFill patternType="none"/>
    </fill>
    <fill>
      <patternFill patternType="gray125"/>
    </fill>
    <fill>
      <patternFill patternType="solid">
        <fgColor rgb="FF17365D"/>
      </patternFill>
    </fill>
    <fill>
      <patternFill patternType="solid">
        <fgColor rgb="FFF4CCCC"/>
      </patternFill>
    </fill>
    <fill>
      <patternFill patternType="solid">
        <fgColor rgb="FFEAF2F8"/>
      </patternFill>
    </fill>
    <fill>
      <patternFill patternType="solid">
        <fgColor rgb="FFFCE5CD"/>
      </patternFill>
    </fill>
    <fill>
      <patternFill patternType="solid">
        <fgColor rgb="FFD9EAD3"/>
      </patternFill>
    </fill>
    <fill>
      <patternFill patternType="solid">
        <fgColor rgb="FF4472C4"/>
      </patternFill>
    </fill>
    <fill>
      <patternFill patternType="solid">
        <fgColor rgb="FFD9EAF7"/>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164" fontId="0" fillId="4" borderId="0" xfId="0" applyNumberFormat="1"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0" borderId="0" xfId="0"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0" fontId="1" fillId="2" borderId="0" xfId="0" applyFont="1" applyFill="1" applyAlignment="1">
      <alignment vertical="center" wrapText="1"/>
    </xf>
    <xf numFmtId="9" fontId="0" fillId="0" borderId="0" xfId="0" applyNumberFormat="1" applyAlignment="1">
      <alignment vertical="center" wrapText="1"/>
    </xf>
    <xf numFmtId="0" fontId="4" fillId="0" borderId="0" xfId="0" applyFont="1"/>
    <xf numFmtId="0" fontId="6" fillId="0" borderId="0" xfId="0" applyFont="1"/>
    <xf numFmtId="0" fontId="7" fillId="0" borderId="0" xfId="0" applyFont="1"/>
    <xf numFmtId="0" fontId="2" fillId="2" borderId="0" xfId="0" applyFont="1" applyFill="1" applyAlignment="1">
      <alignment vertical="center" wrapText="1"/>
    </xf>
    <xf numFmtId="0" fontId="0" fillId="2" borderId="0" xfId="0" applyFill="1" applyAlignment="1">
      <alignment vertical="center" wrapText="1"/>
    </xf>
    <xf numFmtId="0" fontId="1" fillId="7" borderId="0" xfId="0" applyFont="1" applyFill="1" applyAlignment="1">
      <alignment vertical="center" wrapText="1"/>
    </xf>
    <xf numFmtId="0" fontId="0" fillId="0" borderId="0" xfId="0" applyAlignment="1">
      <alignment vertical="center" wrapText="1"/>
    </xf>
    <xf numFmtId="1" fontId="4" fillId="8" borderId="0" xfId="0" applyNumberFormat="1" applyFont="1" applyFill="1" applyAlignment="1">
      <alignment vertical="center" wrapText="1"/>
    </xf>
    <xf numFmtId="0" fontId="4" fillId="8" borderId="0" xfId="0" applyFont="1" applyFill="1" applyAlignment="1">
      <alignment vertical="center" wrapText="1"/>
    </xf>
    <xf numFmtId="9" fontId="4" fillId="8" borderId="0" xfId="0" applyNumberFormat="1"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AR"/>
              <a:t>Avance por etapa</a:t>
            </a:r>
          </a:p>
        </c:rich>
      </c:tx>
      <c:overlay val="1"/>
    </c:title>
    <c:autoTitleDeleted val="0"/>
    <c:plotArea>
      <c:layout/>
      <c:barChart>
        <c:barDir val="col"/>
        <c:grouping val="clustered"/>
        <c:varyColors val="1"/>
        <c:ser>
          <c:idx val="0"/>
          <c:order val="0"/>
          <c:tx>
            <c:strRef>
              <c:f>'Dashboard Ejecutivo'!$D$13</c:f>
              <c:strCache>
                <c:ptCount val="1"/>
                <c:pt idx="0">
                  <c:v>% automatizado</c:v>
                </c:pt>
              </c:strCache>
            </c:strRef>
          </c:tx>
          <c:spPr>
            <a:ln>
              <a:prstDash val="solid"/>
            </a:ln>
          </c:spPr>
          <c:invertIfNegative val="1"/>
          <c:cat>
            <c:strRef>
              <c:f>'Dashboard Ejecutivo'!$B$14:$B$26</c:f>
              <c:strCache>
                <c:ptCount val="13"/>
                <c:pt idx="0">
                  <c:v>01. Compra</c:v>
                </c:pt>
                <c:pt idx="1">
                  <c:v>02. Backend / Salesforce / Engage</c:v>
                </c:pt>
                <c:pt idx="2">
                  <c:v>03. Usuario / Acceso</c:v>
                </c:pt>
                <c:pt idx="3">
                  <c:v>04. WebApp - Perfil y mascotas</c:v>
                </c:pt>
                <c:pt idx="4">
                  <c:v>05. Credencial</c:v>
                </c:pt>
                <c:pt idx="5">
                  <c:v>06. Servicios</c:v>
                </c:pt>
                <c:pt idx="6">
                  <c:v>07. Videollamada</c:v>
                </c:pt>
                <c:pt idx="7">
                  <c:v>08. Prestadores / Red</c:v>
                </c:pt>
                <c:pt idx="8">
                  <c:v>09. Cobertura y condicionados</c:v>
                </c:pt>
                <c:pt idx="9">
                  <c:v>10. Reintegros</c:v>
                </c:pt>
                <c:pt idx="10">
                  <c:v>11. Vetify Plus / Planes</c:v>
                </c:pt>
                <c:pt idx="11">
                  <c:v>12. Notificaciones</c:v>
                </c:pt>
                <c:pt idx="12">
                  <c:v>13. Regresión transversal</c:v>
                </c:pt>
              </c:strCache>
            </c:strRef>
          </c:cat>
          <c:val>
            <c:numRef>
              <c:f>'Dashboard Ejecutivo'!$D$14:$D$26</c:f>
              <c:numCache>
                <c:formatCode>0%</c:formatCode>
                <c:ptCount val="13"/>
                <c:pt idx="0">
                  <c:v>0.75</c:v>
                </c:pt>
                <c:pt idx="1">
                  <c:v>0</c:v>
                </c:pt>
                <c:pt idx="2">
                  <c:v>0.60526315789473684</c:v>
                </c:pt>
                <c:pt idx="3">
                  <c:v>0.4</c:v>
                </c:pt>
                <c:pt idx="4">
                  <c:v>0.7</c:v>
                </c:pt>
                <c:pt idx="5">
                  <c:v>1</c:v>
                </c:pt>
                <c:pt idx="6">
                  <c:v>0.42857142857142855</c:v>
                </c:pt>
                <c:pt idx="7">
                  <c:v>0</c:v>
                </c:pt>
                <c:pt idx="8">
                  <c:v>6.25E-2</c:v>
                </c:pt>
                <c:pt idx="9">
                  <c:v>0.17857142857142858</c:v>
                </c:pt>
                <c:pt idx="10">
                  <c:v>0.66666666666666674</c:v>
                </c:pt>
                <c:pt idx="11">
                  <c:v>0</c:v>
                </c:pt>
                <c:pt idx="12">
                  <c:v>0</c:v>
                </c:pt>
              </c:numCache>
            </c:numRef>
          </c:val>
          <c:extLst>
            <c:ext xmlns:c16="http://schemas.microsoft.com/office/drawing/2014/chart" uri="{C3380CC4-5D6E-409C-BE32-E72D297353CC}">
              <c16:uniqueId val="{00000000-0CF1-42F4-B5A1-CCE518C1EFB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s-AR"/>
                  <a:t>Etapa</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s-AR"/>
                  <a:t>% automatizado</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AR"/>
              <a:t>Distribución por estado</a:t>
            </a:r>
          </a:p>
        </c:rich>
      </c:tx>
      <c:overlay val="1"/>
    </c:title>
    <c:autoTitleDeleted val="0"/>
    <c:plotArea>
      <c:layout/>
      <c:pieChart>
        <c:varyColors val="1"/>
        <c:ser>
          <c:idx val="0"/>
          <c:order val="0"/>
          <c:tx>
            <c:strRef>
              <c:f>'Dashboard Ejecutivo'!$C$31</c:f>
              <c:strCache>
                <c:ptCount val="1"/>
                <c:pt idx="0">
                  <c:v>Cantidad</c:v>
                </c:pt>
              </c:strCache>
            </c:strRef>
          </c:tx>
          <c:spPr>
            <a:ln>
              <a:prstDash val="solid"/>
            </a:ln>
          </c:spPr>
          <c:cat>
            <c:strRef>
              <c:f>'Dashboard Ejecutivo'!$B$32:$B$36</c:f>
              <c:strCache>
                <c:ptCount val="5"/>
                <c:pt idx="0">
                  <c:v>0%</c:v>
                </c:pt>
                <c:pt idx="1">
                  <c:v>25%</c:v>
                </c:pt>
                <c:pt idx="2">
                  <c:v>50%</c:v>
                </c:pt>
                <c:pt idx="3">
                  <c:v>75%</c:v>
                </c:pt>
                <c:pt idx="4">
                  <c:v>100%</c:v>
                </c:pt>
              </c:strCache>
            </c:strRef>
          </c:cat>
          <c:val>
            <c:numRef>
              <c:f>'Dashboard Ejecutivo'!$C$32:$C$36</c:f>
              <c:numCache>
                <c:formatCode>General</c:formatCode>
                <c:ptCount val="5"/>
                <c:pt idx="0">
                  <c:v>48</c:v>
                </c:pt>
                <c:pt idx="1">
                  <c:v>3</c:v>
                </c:pt>
                <c:pt idx="2">
                  <c:v>4</c:v>
                </c:pt>
                <c:pt idx="3">
                  <c:v>1</c:v>
                </c:pt>
                <c:pt idx="4">
                  <c:v>32</c:v>
                </c:pt>
              </c:numCache>
            </c:numRef>
          </c:val>
          <c:extLst>
            <c:ext xmlns:c16="http://schemas.microsoft.com/office/drawing/2014/chart" uri="{C3380CC4-5D6E-409C-BE32-E72D297353CC}">
              <c16:uniqueId val="{00000000-1775-4CBE-BA38-A89126B45A4E}"/>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0</xdr:colOff>
      <xdr:row>11</xdr:row>
      <xdr:rowOff>0</xdr:rowOff>
    </xdr:from>
    <xdr:ext cx="5400000" cy="28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29</xdr:row>
      <xdr:rowOff>0</xdr:rowOff>
    </xdr:from>
    <xdr:ext cx="3600000" cy="252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89"/>
  <sheetViews>
    <sheetView tabSelected="1" workbookViewId="0">
      <pane ySplit="1" topLeftCell="A4" activePane="bottomLeft" state="frozen"/>
      <selection pane="bottomLeft" activeCell="E8" sqref="E8"/>
    </sheetView>
  </sheetViews>
  <sheetFormatPr baseColWidth="10" defaultColWidth="8.85546875" defaultRowHeight="15" x14ac:dyDescent="0.25"/>
  <cols>
    <col min="1" max="1" width="16" customWidth="1"/>
    <col min="2" max="2" width="28" customWidth="1"/>
    <col min="3" max="3" width="20" customWidth="1"/>
    <col min="4" max="4" width="38" customWidth="1"/>
    <col min="5" max="5" width="58" customWidth="1"/>
    <col min="6" max="6" width="20" customWidth="1"/>
    <col min="7" max="7" width="14" customWidth="1"/>
    <col min="8" max="8" width="12" customWidth="1"/>
    <col min="9" max="9" width="24" customWidth="1"/>
    <col min="10" max="10" width="28" customWidth="1"/>
    <col min="11" max="11" width="35" customWidth="1"/>
  </cols>
  <sheetData>
    <row r="1" spans="1:11" ht="34.15" customHeight="1" x14ac:dyDescent="0.25">
      <c r="A1" s="1" t="s">
        <v>0</v>
      </c>
      <c r="B1" s="1" t="s">
        <v>1</v>
      </c>
      <c r="C1" s="1" t="s">
        <v>268</v>
      </c>
      <c r="D1" s="1" t="s">
        <v>3</v>
      </c>
      <c r="E1" s="1" t="s">
        <v>4</v>
      </c>
      <c r="F1" s="1" t="s">
        <v>5</v>
      </c>
      <c r="G1" s="1" t="s">
        <v>6</v>
      </c>
      <c r="H1" s="1" t="s">
        <v>7</v>
      </c>
      <c r="I1" s="1" t="s">
        <v>8</v>
      </c>
      <c r="J1" s="1" t="s">
        <v>9</v>
      </c>
      <c r="K1" s="1" t="s">
        <v>10</v>
      </c>
    </row>
    <row r="2" spans="1:11" ht="135" x14ac:dyDescent="0.25">
      <c r="A2" s="2" t="s">
        <v>11</v>
      </c>
      <c r="B2" s="2" t="s">
        <v>12</v>
      </c>
      <c r="C2" s="2" t="s">
        <v>13</v>
      </c>
      <c r="D2" s="2" t="s">
        <v>14</v>
      </c>
      <c r="E2" s="2" t="s">
        <v>264</v>
      </c>
      <c r="F2" s="2" t="s">
        <v>15</v>
      </c>
      <c r="G2" s="3" t="s">
        <v>16</v>
      </c>
      <c r="H2" s="2">
        <v>1</v>
      </c>
      <c r="I2" s="4">
        <v>50</v>
      </c>
      <c r="J2" s="2"/>
      <c r="K2" s="2" t="s">
        <v>304</v>
      </c>
    </row>
    <row r="3" spans="1:11" ht="150" x14ac:dyDescent="0.25">
      <c r="A3" s="2" t="s">
        <v>17</v>
      </c>
      <c r="B3" s="2" t="s">
        <v>12</v>
      </c>
      <c r="C3" s="2" t="s">
        <v>18</v>
      </c>
      <c r="D3" s="2" t="s">
        <v>19</v>
      </c>
      <c r="E3" s="2" t="s">
        <v>264</v>
      </c>
      <c r="F3" s="2" t="s">
        <v>15</v>
      </c>
      <c r="G3" s="3" t="s">
        <v>16</v>
      </c>
      <c r="H3" s="2">
        <v>1</v>
      </c>
      <c r="I3" s="4">
        <v>50</v>
      </c>
      <c r="J3" s="2"/>
      <c r="K3" s="2" t="s">
        <v>305</v>
      </c>
    </row>
    <row r="4" spans="1:11" ht="45" x14ac:dyDescent="0.25">
      <c r="A4" s="2" t="s">
        <v>20</v>
      </c>
      <c r="B4" s="2" t="s">
        <v>12</v>
      </c>
      <c r="C4" s="2" t="s">
        <v>21</v>
      </c>
      <c r="D4" s="2" t="s">
        <v>22</v>
      </c>
      <c r="E4" s="2" t="s">
        <v>23</v>
      </c>
      <c r="F4" s="2" t="s">
        <v>15</v>
      </c>
      <c r="G4" s="3" t="s">
        <v>16</v>
      </c>
      <c r="H4" s="2">
        <v>1</v>
      </c>
      <c r="I4" s="4">
        <v>100</v>
      </c>
      <c r="J4" s="2"/>
      <c r="K4" s="2" t="s">
        <v>306</v>
      </c>
    </row>
    <row r="5" spans="1:11" ht="120" x14ac:dyDescent="0.25">
      <c r="A5" s="2" t="s">
        <v>24</v>
      </c>
      <c r="B5" s="2" t="s">
        <v>12</v>
      </c>
      <c r="C5" s="2" t="s">
        <v>25</v>
      </c>
      <c r="D5" s="2" t="s">
        <v>26</v>
      </c>
      <c r="E5" s="2" t="s">
        <v>27</v>
      </c>
      <c r="F5" s="2" t="s">
        <v>15</v>
      </c>
      <c r="G5" s="3" t="s">
        <v>16</v>
      </c>
      <c r="H5" s="2">
        <v>1</v>
      </c>
      <c r="I5" s="4">
        <v>100</v>
      </c>
      <c r="J5" s="2"/>
      <c r="K5" s="2" t="s">
        <v>307</v>
      </c>
    </row>
    <row r="6" spans="1:11" ht="225" x14ac:dyDescent="0.25">
      <c r="A6" s="2" t="s">
        <v>28</v>
      </c>
      <c r="B6" s="2" t="s">
        <v>290</v>
      </c>
      <c r="C6" s="2" t="s">
        <v>13</v>
      </c>
      <c r="D6" s="2" t="s">
        <v>294</v>
      </c>
      <c r="E6" s="2" t="s">
        <v>265</v>
      </c>
      <c r="F6" s="2" t="s">
        <v>15</v>
      </c>
      <c r="G6" s="3" t="s">
        <v>16</v>
      </c>
      <c r="H6" s="2">
        <v>1</v>
      </c>
      <c r="I6" s="4">
        <v>0</v>
      </c>
      <c r="J6" s="2"/>
      <c r="K6" s="2" t="s">
        <v>344</v>
      </c>
    </row>
    <row r="7" spans="1:11" ht="225" x14ac:dyDescent="0.25">
      <c r="A7" s="2" t="s">
        <v>30</v>
      </c>
      <c r="B7" s="2" t="s">
        <v>290</v>
      </c>
      <c r="C7" s="2" t="s">
        <v>18</v>
      </c>
      <c r="D7" s="2" t="s">
        <v>295</v>
      </c>
      <c r="E7" s="2" t="s">
        <v>31</v>
      </c>
      <c r="F7" s="2" t="s">
        <v>15</v>
      </c>
      <c r="G7" s="3" t="s">
        <v>16</v>
      </c>
      <c r="H7" s="2">
        <v>1</v>
      </c>
      <c r="I7" s="4">
        <v>0</v>
      </c>
      <c r="J7" s="2"/>
      <c r="K7" s="2" t="s">
        <v>344</v>
      </c>
    </row>
    <row r="8" spans="1:11" ht="225" x14ac:dyDescent="0.25">
      <c r="A8" s="2" t="s">
        <v>32</v>
      </c>
      <c r="B8" s="2" t="s">
        <v>292</v>
      </c>
      <c r="C8" s="2" t="s">
        <v>21</v>
      </c>
      <c r="D8" s="2" t="s">
        <v>296</v>
      </c>
      <c r="E8" s="2" t="s">
        <v>33</v>
      </c>
      <c r="F8" s="2" t="s">
        <v>15</v>
      </c>
      <c r="G8" s="3" t="s">
        <v>16</v>
      </c>
      <c r="H8" s="2">
        <v>1</v>
      </c>
      <c r="I8" s="4">
        <v>0</v>
      </c>
      <c r="J8" s="2"/>
      <c r="K8" s="2" t="s">
        <v>344</v>
      </c>
    </row>
    <row r="9" spans="1:11" ht="225" x14ac:dyDescent="0.25">
      <c r="A9" s="2" t="s">
        <v>34</v>
      </c>
      <c r="B9" s="2" t="s">
        <v>293</v>
      </c>
      <c r="C9" s="2" t="s">
        <v>25</v>
      </c>
      <c r="D9" s="2" t="s">
        <v>297</v>
      </c>
      <c r="E9" s="2" t="s">
        <v>35</v>
      </c>
      <c r="F9" s="2" t="s">
        <v>15</v>
      </c>
      <c r="G9" s="3" t="s">
        <v>16</v>
      </c>
      <c r="H9" s="2">
        <v>1</v>
      </c>
      <c r="I9" s="4">
        <v>0</v>
      </c>
      <c r="J9" s="2"/>
      <c r="K9" s="2" t="s">
        <v>344</v>
      </c>
    </row>
    <row r="10" spans="1:11" ht="225" x14ac:dyDescent="0.25">
      <c r="A10" s="2" t="s">
        <v>36</v>
      </c>
      <c r="B10" s="2" t="s">
        <v>290</v>
      </c>
      <c r="C10" s="2" t="s">
        <v>13</v>
      </c>
      <c r="D10" s="2" t="s">
        <v>298</v>
      </c>
      <c r="E10" s="2" t="s">
        <v>37</v>
      </c>
      <c r="F10" s="2" t="s">
        <v>15</v>
      </c>
      <c r="G10" s="3" t="s">
        <v>16</v>
      </c>
      <c r="H10" s="2">
        <v>1</v>
      </c>
      <c r="I10" s="4">
        <v>0</v>
      </c>
      <c r="J10" s="2"/>
      <c r="K10" s="2" t="s">
        <v>344</v>
      </c>
    </row>
    <row r="11" spans="1:11" ht="225" x14ac:dyDescent="0.25">
      <c r="A11" s="2" t="s">
        <v>38</v>
      </c>
      <c r="B11" s="2" t="s">
        <v>290</v>
      </c>
      <c r="C11" s="2" t="s">
        <v>18</v>
      </c>
      <c r="D11" s="2" t="s">
        <v>298</v>
      </c>
      <c r="E11" s="2" t="s">
        <v>39</v>
      </c>
      <c r="F11" s="2" t="s">
        <v>15</v>
      </c>
      <c r="G11" s="3" t="s">
        <v>16</v>
      </c>
      <c r="H11" s="2">
        <v>1</v>
      </c>
      <c r="I11" s="4">
        <v>0</v>
      </c>
      <c r="J11" s="2"/>
      <c r="K11" s="2" t="s">
        <v>344</v>
      </c>
    </row>
    <row r="12" spans="1:11" ht="225" x14ac:dyDescent="0.25">
      <c r="A12" s="2" t="s">
        <v>40</v>
      </c>
      <c r="B12" s="2" t="s">
        <v>292</v>
      </c>
      <c r="C12" s="2" t="s">
        <v>21</v>
      </c>
      <c r="D12" s="2" t="s">
        <v>299</v>
      </c>
      <c r="E12" s="2" t="s">
        <v>266</v>
      </c>
      <c r="F12" s="2" t="s">
        <v>15</v>
      </c>
      <c r="G12" s="3" t="s">
        <v>16</v>
      </c>
      <c r="H12" s="2">
        <v>1</v>
      </c>
      <c r="I12" s="4">
        <v>0</v>
      </c>
      <c r="J12" s="2"/>
      <c r="K12" s="2" t="s">
        <v>344</v>
      </c>
    </row>
    <row r="13" spans="1:11" ht="225" x14ac:dyDescent="0.25">
      <c r="A13" s="2" t="s">
        <v>41</v>
      </c>
      <c r="B13" s="2" t="s">
        <v>290</v>
      </c>
      <c r="C13" s="2" t="s">
        <v>25</v>
      </c>
      <c r="D13" s="2" t="s">
        <v>42</v>
      </c>
      <c r="E13" s="2" t="s">
        <v>43</v>
      </c>
      <c r="F13" s="2" t="s">
        <v>15</v>
      </c>
      <c r="G13" s="3" t="s">
        <v>16</v>
      </c>
      <c r="H13" s="2">
        <v>1</v>
      </c>
      <c r="I13" s="4">
        <v>0</v>
      </c>
      <c r="J13" s="2"/>
      <c r="K13" s="2" t="s">
        <v>344</v>
      </c>
    </row>
    <row r="14" spans="1:11" ht="225" x14ac:dyDescent="0.25">
      <c r="A14" s="2" t="s">
        <v>44</v>
      </c>
      <c r="B14" s="2" t="s">
        <v>290</v>
      </c>
      <c r="C14" s="2" t="s">
        <v>45</v>
      </c>
      <c r="D14" s="2" t="s">
        <v>46</v>
      </c>
      <c r="E14" s="2" t="s">
        <v>47</v>
      </c>
      <c r="F14" s="2" t="s">
        <v>48</v>
      </c>
      <c r="G14" s="3" t="s">
        <v>16</v>
      </c>
      <c r="H14" s="2">
        <v>1</v>
      </c>
      <c r="I14" s="4">
        <v>0</v>
      </c>
      <c r="J14" s="2"/>
      <c r="K14" s="2" t="s">
        <v>344</v>
      </c>
    </row>
    <row r="15" spans="1:11" ht="225" x14ac:dyDescent="0.25">
      <c r="A15" s="2" t="s">
        <v>49</v>
      </c>
      <c r="B15" s="2" t="s">
        <v>290</v>
      </c>
      <c r="C15" s="2" t="s">
        <v>45</v>
      </c>
      <c r="D15" s="2" t="s">
        <v>50</v>
      </c>
      <c r="E15" s="2" t="s">
        <v>51</v>
      </c>
      <c r="F15" s="2" t="s">
        <v>52</v>
      </c>
      <c r="G15" s="5" t="s">
        <v>53</v>
      </c>
      <c r="H15" s="2">
        <v>2</v>
      </c>
      <c r="I15" s="4">
        <v>0</v>
      </c>
      <c r="J15" s="2"/>
      <c r="K15" s="2" t="s">
        <v>344</v>
      </c>
    </row>
    <row r="16" spans="1:11" ht="45" x14ac:dyDescent="0.25">
      <c r="A16" s="2" t="s">
        <v>54</v>
      </c>
      <c r="B16" s="2" t="s">
        <v>55</v>
      </c>
      <c r="C16" s="2" t="s">
        <v>56</v>
      </c>
      <c r="D16" s="2" t="s">
        <v>291</v>
      </c>
      <c r="E16" s="2" t="s">
        <v>57</v>
      </c>
      <c r="F16" s="2" t="s">
        <v>15</v>
      </c>
      <c r="G16" s="3" t="s">
        <v>16</v>
      </c>
      <c r="H16" s="2">
        <v>1</v>
      </c>
      <c r="I16" s="4">
        <v>100</v>
      </c>
      <c r="J16" s="2"/>
      <c r="K16" s="2" t="s">
        <v>308</v>
      </c>
    </row>
    <row r="17" spans="1:11" ht="45" x14ac:dyDescent="0.25">
      <c r="A17" s="2" t="s">
        <v>58</v>
      </c>
      <c r="B17" s="2" t="s">
        <v>55</v>
      </c>
      <c r="C17" s="2" t="s">
        <v>59</v>
      </c>
      <c r="D17" s="2" t="s">
        <v>60</v>
      </c>
      <c r="E17" s="2" t="s">
        <v>61</v>
      </c>
      <c r="F17" s="2" t="s">
        <v>15</v>
      </c>
      <c r="G17" s="3" t="s">
        <v>16</v>
      </c>
      <c r="H17" s="2">
        <v>1</v>
      </c>
      <c r="I17" s="4">
        <v>100</v>
      </c>
      <c r="J17" s="2"/>
      <c r="K17" s="2" t="s">
        <v>309</v>
      </c>
    </row>
    <row r="18" spans="1:11" ht="75" x14ac:dyDescent="0.25">
      <c r="A18" s="2" t="s">
        <v>62</v>
      </c>
      <c r="B18" s="2" t="s">
        <v>55</v>
      </c>
      <c r="C18" s="2" t="s">
        <v>45</v>
      </c>
      <c r="D18" s="2" t="s">
        <v>63</v>
      </c>
      <c r="E18" s="2" t="s">
        <v>64</v>
      </c>
      <c r="F18" s="2" t="s">
        <v>15</v>
      </c>
      <c r="G18" s="3" t="s">
        <v>16</v>
      </c>
      <c r="H18" s="2">
        <v>1</v>
      </c>
      <c r="I18" s="4">
        <v>100</v>
      </c>
      <c r="J18" s="2"/>
      <c r="K18" s="2" t="s">
        <v>310</v>
      </c>
    </row>
    <row r="19" spans="1:11" ht="45" x14ac:dyDescent="0.25">
      <c r="A19" s="2" t="s">
        <v>65</v>
      </c>
      <c r="B19" s="2" t="s">
        <v>55</v>
      </c>
      <c r="C19" s="2" t="s">
        <v>45</v>
      </c>
      <c r="D19" s="2" t="s">
        <v>66</v>
      </c>
      <c r="E19" s="2" t="s">
        <v>267</v>
      </c>
      <c r="F19" s="2" t="s">
        <v>48</v>
      </c>
      <c r="G19" s="5" t="s">
        <v>53</v>
      </c>
      <c r="H19" s="2">
        <v>2</v>
      </c>
      <c r="I19" s="4">
        <v>100</v>
      </c>
      <c r="J19" s="2"/>
      <c r="K19" s="2" t="s">
        <v>311</v>
      </c>
    </row>
    <row r="20" spans="1:11" ht="45" x14ac:dyDescent="0.25">
      <c r="A20" s="2" t="s">
        <v>67</v>
      </c>
      <c r="B20" s="2" t="s">
        <v>55</v>
      </c>
      <c r="C20" s="2" t="s">
        <v>45</v>
      </c>
      <c r="D20" s="2" t="s">
        <v>68</v>
      </c>
      <c r="E20" s="2" t="s">
        <v>69</v>
      </c>
      <c r="F20" s="2" t="s">
        <v>48</v>
      </c>
      <c r="G20" s="5" t="s">
        <v>53</v>
      </c>
      <c r="H20" s="2">
        <v>2</v>
      </c>
      <c r="I20" s="4">
        <v>100</v>
      </c>
      <c r="J20" s="2"/>
      <c r="K20" s="2" t="s">
        <v>312</v>
      </c>
    </row>
    <row r="21" spans="1:11" ht="75" x14ac:dyDescent="0.25">
      <c r="A21" s="2" t="s">
        <v>70</v>
      </c>
      <c r="B21" s="2" t="s">
        <v>55</v>
      </c>
      <c r="C21" s="2" t="s">
        <v>45</v>
      </c>
      <c r="D21" s="2" t="s">
        <v>71</v>
      </c>
      <c r="E21" s="2" t="s">
        <v>72</v>
      </c>
      <c r="F21" s="2" t="s">
        <v>15</v>
      </c>
      <c r="G21" s="3" t="s">
        <v>16</v>
      </c>
      <c r="H21" s="2">
        <v>1</v>
      </c>
      <c r="I21" s="4">
        <v>100</v>
      </c>
      <c r="J21" s="2"/>
      <c r="K21" s="2" t="s">
        <v>313</v>
      </c>
    </row>
    <row r="22" spans="1:11" ht="75" x14ac:dyDescent="0.25">
      <c r="A22" s="2" t="s">
        <v>73</v>
      </c>
      <c r="B22" s="2" t="s">
        <v>55</v>
      </c>
      <c r="C22" s="2" t="s">
        <v>45</v>
      </c>
      <c r="D22" s="2" t="s">
        <v>74</v>
      </c>
      <c r="E22" s="2" t="s">
        <v>75</v>
      </c>
      <c r="F22" s="2" t="s">
        <v>15</v>
      </c>
      <c r="G22" s="3" t="s">
        <v>16</v>
      </c>
      <c r="H22" s="2">
        <v>1</v>
      </c>
      <c r="I22" s="4">
        <v>100</v>
      </c>
      <c r="J22" s="2"/>
      <c r="K22" s="2" t="s">
        <v>314</v>
      </c>
    </row>
    <row r="23" spans="1:11" ht="30" x14ac:dyDescent="0.25">
      <c r="A23" s="2" t="s">
        <v>76</v>
      </c>
      <c r="B23" s="2" t="s">
        <v>55</v>
      </c>
      <c r="C23" s="2" t="s">
        <v>45</v>
      </c>
      <c r="D23" s="2" t="s">
        <v>77</v>
      </c>
      <c r="E23" s="2" t="s">
        <v>78</v>
      </c>
      <c r="F23" s="2" t="s">
        <v>52</v>
      </c>
      <c r="G23" s="5" t="s">
        <v>53</v>
      </c>
      <c r="H23" s="2">
        <v>2</v>
      </c>
      <c r="I23" s="4">
        <v>100</v>
      </c>
      <c r="J23" s="2"/>
      <c r="K23" s="2" t="s">
        <v>315</v>
      </c>
    </row>
    <row r="24" spans="1:11" ht="30" x14ac:dyDescent="0.25">
      <c r="A24" s="2" t="s">
        <v>79</v>
      </c>
      <c r="B24" s="2" t="s">
        <v>55</v>
      </c>
      <c r="C24" s="2" t="s">
        <v>45</v>
      </c>
      <c r="D24" s="2" t="s">
        <v>269</v>
      </c>
      <c r="E24" s="2" t="s">
        <v>80</v>
      </c>
      <c r="F24" s="2" t="s">
        <v>15</v>
      </c>
      <c r="G24" s="3" t="s">
        <v>16</v>
      </c>
      <c r="H24" s="2">
        <v>1</v>
      </c>
      <c r="I24" s="4">
        <v>100</v>
      </c>
      <c r="J24" s="2"/>
      <c r="K24" s="2" t="s">
        <v>316</v>
      </c>
    </row>
    <row r="25" spans="1:11" ht="45" x14ac:dyDescent="0.25">
      <c r="A25" s="2" t="s">
        <v>81</v>
      </c>
      <c r="B25" s="2" t="s">
        <v>55</v>
      </c>
      <c r="C25" s="2" t="s">
        <v>45</v>
      </c>
      <c r="D25" s="2" t="s">
        <v>82</v>
      </c>
      <c r="E25" s="2" t="s">
        <v>83</v>
      </c>
      <c r="F25" s="2" t="s">
        <v>52</v>
      </c>
      <c r="G25" s="3" t="s">
        <v>16</v>
      </c>
      <c r="H25" s="2">
        <v>1</v>
      </c>
      <c r="I25" s="4">
        <v>100</v>
      </c>
      <c r="J25" s="2"/>
      <c r="K25" s="2" t="s">
        <v>317</v>
      </c>
    </row>
    <row r="26" spans="1:11" ht="135" x14ac:dyDescent="0.25">
      <c r="A26" s="2" t="s">
        <v>84</v>
      </c>
      <c r="B26" s="2" t="s">
        <v>55</v>
      </c>
      <c r="C26" s="2" t="s">
        <v>45</v>
      </c>
      <c r="D26" s="2" t="s">
        <v>85</v>
      </c>
      <c r="E26" s="2" t="s">
        <v>86</v>
      </c>
      <c r="F26" s="2" t="s">
        <v>15</v>
      </c>
      <c r="G26" s="3" t="s">
        <v>16</v>
      </c>
      <c r="H26" s="2">
        <v>1</v>
      </c>
      <c r="I26" s="4">
        <v>50</v>
      </c>
      <c r="J26" s="2"/>
      <c r="K26" s="2" t="s">
        <v>318</v>
      </c>
    </row>
    <row r="27" spans="1:11" ht="45" x14ac:dyDescent="0.25">
      <c r="A27" s="2" t="s">
        <v>87</v>
      </c>
      <c r="B27" s="2" t="s">
        <v>55</v>
      </c>
      <c r="C27" s="2" t="s">
        <v>45</v>
      </c>
      <c r="D27" s="2" t="s">
        <v>88</v>
      </c>
      <c r="E27" s="2" t="s">
        <v>89</v>
      </c>
      <c r="F27" s="2" t="s">
        <v>52</v>
      </c>
      <c r="G27" s="5" t="s">
        <v>53</v>
      </c>
      <c r="H27" s="2">
        <v>2</v>
      </c>
      <c r="I27" s="4">
        <v>100</v>
      </c>
      <c r="J27" s="2"/>
      <c r="K27" s="2" t="s">
        <v>319</v>
      </c>
    </row>
    <row r="28" spans="1:11" ht="105" x14ac:dyDescent="0.25">
      <c r="A28" s="2" t="s">
        <v>90</v>
      </c>
      <c r="B28" s="2" t="s">
        <v>55</v>
      </c>
      <c r="C28" s="2" t="s">
        <v>45</v>
      </c>
      <c r="D28" s="2" t="s">
        <v>91</v>
      </c>
      <c r="E28" s="2" t="s">
        <v>92</v>
      </c>
      <c r="F28" s="2" t="s">
        <v>15</v>
      </c>
      <c r="G28" s="3" t="s">
        <v>16</v>
      </c>
      <c r="H28" s="2">
        <v>1</v>
      </c>
      <c r="I28" s="4">
        <v>0</v>
      </c>
      <c r="J28" s="2"/>
      <c r="K28" s="2" t="s">
        <v>320</v>
      </c>
    </row>
    <row r="29" spans="1:11" ht="60" x14ac:dyDescent="0.25">
      <c r="A29" s="2" t="s">
        <v>93</v>
      </c>
      <c r="B29" s="2" t="s">
        <v>55</v>
      </c>
      <c r="C29" s="2" t="s">
        <v>45</v>
      </c>
      <c r="D29" s="2" t="s">
        <v>94</v>
      </c>
      <c r="E29" s="2" t="s">
        <v>95</v>
      </c>
      <c r="F29" s="2" t="s">
        <v>52</v>
      </c>
      <c r="G29" s="5" t="s">
        <v>53</v>
      </c>
      <c r="H29" s="2">
        <v>2</v>
      </c>
      <c r="I29" s="4">
        <v>0</v>
      </c>
      <c r="J29" s="2"/>
      <c r="K29" s="2" t="s">
        <v>321</v>
      </c>
    </row>
    <row r="30" spans="1:11" ht="105" x14ac:dyDescent="0.25">
      <c r="A30" s="2" t="s">
        <v>96</v>
      </c>
      <c r="B30" s="2" t="s">
        <v>55</v>
      </c>
      <c r="C30" s="2" t="s">
        <v>45</v>
      </c>
      <c r="D30" s="2" t="s">
        <v>97</v>
      </c>
      <c r="E30" s="2" t="s">
        <v>98</v>
      </c>
      <c r="F30" s="2" t="s">
        <v>15</v>
      </c>
      <c r="G30" s="3" t="s">
        <v>16</v>
      </c>
      <c r="H30" s="2">
        <v>1</v>
      </c>
      <c r="I30" s="4">
        <v>0</v>
      </c>
      <c r="J30" s="2"/>
      <c r="K30" s="2" t="s">
        <v>322</v>
      </c>
    </row>
    <row r="31" spans="1:11" ht="45" x14ac:dyDescent="0.25">
      <c r="A31" s="2" t="s">
        <v>99</v>
      </c>
      <c r="B31" s="2" t="s">
        <v>55</v>
      </c>
      <c r="C31" s="2" t="s">
        <v>45</v>
      </c>
      <c r="D31" s="2" t="s">
        <v>100</v>
      </c>
      <c r="E31" s="2" t="s">
        <v>101</v>
      </c>
      <c r="F31" s="2" t="s">
        <v>52</v>
      </c>
      <c r="G31" s="3" t="s">
        <v>16</v>
      </c>
      <c r="H31" s="2">
        <v>1</v>
      </c>
      <c r="I31" s="4">
        <v>0</v>
      </c>
      <c r="J31" s="2"/>
      <c r="K31" s="2" t="s">
        <v>323</v>
      </c>
    </row>
    <row r="32" spans="1:11" ht="45" x14ac:dyDescent="0.25">
      <c r="A32" s="2" t="s">
        <v>102</v>
      </c>
      <c r="B32" s="2" t="s">
        <v>55</v>
      </c>
      <c r="C32" s="2" t="s">
        <v>45</v>
      </c>
      <c r="D32" s="2" t="s">
        <v>103</v>
      </c>
      <c r="E32" s="2" t="s">
        <v>104</v>
      </c>
      <c r="F32" s="2" t="s">
        <v>105</v>
      </c>
      <c r="G32" s="3" t="s">
        <v>16</v>
      </c>
      <c r="H32" s="2">
        <v>1</v>
      </c>
      <c r="I32" s="4">
        <v>0</v>
      </c>
      <c r="J32" s="2"/>
      <c r="K32" s="2" t="s">
        <v>324</v>
      </c>
    </row>
    <row r="33" spans="1:11" ht="30" x14ac:dyDescent="0.25">
      <c r="A33" s="2" t="s">
        <v>106</v>
      </c>
      <c r="B33" s="2" t="s">
        <v>107</v>
      </c>
      <c r="C33" s="2" t="s">
        <v>45</v>
      </c>
      <c r="D33" s="2" t="s">
        <v>108</v>
      </c>
      <c r="E33" s="2" t="s">
        <v>109</v>
      </c>
      <c r="F33" s="2" t="s">
        <v>15</v>
      </c>
      <c r="G33" s="5" t="s">
        <v>53</v>
      </c>
      <c r="H33" s="2">
        <v>2</v>
      </c>
      <c r="I33" s="4">
        <v>100</v>
      </c>
      <c r="J33" s="2"/>
      <c r="K33" s="2" t="s">
        <v>327</v>
      </c>
    </row>
    <row r="34" spans="1:11" ht="135" x14ac:dyDescent="0.25">
      <c r="A34" s="2" t="s">
        <v>110</v>
      </c>
      <c r="B34" s="2" t="s">
        <v>107</v>
      </c>
      <c r="C34" s="2" t="s">
        <v>45</v>
      </c>
      <c r="D34" s="2" t="s">
        <v>111</v>
      </c>
      <c r="E34" s="2" t="s">
        <v>112</v>
      </c>
      <c r="F34" s="2" t="s">
        <v>15</v>
      </c>
      <c r="G34" s="5" t="s">
        <v>53</v>
      </c>
      <c r="H34" s="2">
        <v>2</v>
      </c>
      <c r="I34" s="4">
        <v>25</v>
      </c>
      <c r="J34" s="2"/>
      <c r="K34" s="2" t="s">
        <v>328</v>
      </c>
    </row>
    <row r="35" spans="1:11" ht="165" x14ac:dyDescent="0.25">
      <c r="A35" s="2" t="s">
        <v>113</v>
      </c>
      <c r="B35" s="2" t="s">
        <v>107</v>
      </c>
      <c r="C35" s="2" t="s">
        <v>45</v>
      </c>
      <c r="D35" s="2" t="s">
        <v>114</v>
      </c>
      <c r="E35" s="2" t="s">
        <v>115</v>
      </c>
      <c r="F35" s="2" t="s">
        <v>15</v>
      </c>
      <c r="G35" s="3" t="s">
        <v>16</v>
      </c>
      <c r="H35" s="2">
        <v>1</v>
      </c>
      <c r="I35" s="4">
        <v>75</v>
      </c>
      <c r="J35" s="2"/>
      <c r="K35" s="2" t="s">
        <v>343</v>
      </c>
    </row>
    <row r="36" spans="1:11" ht="60" x14ac:dyDescent="0.25">
      <c r="A36" s="2" t="s">
        <v>116</v>
      </c>
      <c r="B36" s="2" t="s">
        <v>107</v>
      </c>
      <c r="C36" s="2" t="s">
        <v>45</v>
      </c>
      <c r="D36" s="2" t="s">
        <v>117</v>
      </c>
      <c r="E36" s="2" t="s">
        <v>118</v>
      </c>
      <c r="F36" s="2" t="s">
        <v>15</v>
      </c>
      <c r="G36" s="3" t="s">
        <v>16</v>
      </c>
      <c r="H36" s="2">
        <v>1</v>
      </c>
      <c r="I36" s="4">
        <v>0</v>
      </c>
      <c r="J36" s="2"/>
      <c r="K36" s="2" t="s">
        <v>329</v>
      </c>
    </row>
    <row r="37" spans="1:11" ht="90" x14ac:dyDescent="0.25">
      <c r="A37" s="2" t="s">
        <v>119</v>
      </c>
      <c r="B37" s="2" t="s">
        <v>107</v>
      </c>
      <c r="C37" s="2" t="s">
        <v>45</v>
      </c>
      <c r="D37" s="2" t="s">
        <v>120</v>
      </c>
      <c r="E37" s="2" t="s">
        <v>121</v>
      </c>
      <c r="F37" s="2" t="s">
        <v>15</v>
      </c>
      <c r="G37" s="3" t="s">
        <v>16</v>
      </c>
      <c r="H37" s="2">
        <v>1</v>
      </c>
      <c r="I37" s="4">
        <v>0</v>
      </c>
      <c r="J37" s="2"/>
      <c r="K37" s="2" t="s">
        <v>330</v>
      </c>
    </row>
    <row r="38" spans="1:11" ht="60" x14ac:dyDescent="0.25">
      <c r="A38" s="2" t="s">
        <v>300</v>
      </c>
      <c r="B38" s="2" t="s">
        <v>55</v>
      </c>
      <c r="C38" s="2" t="s">
        <v>45</v>
      </c>
      <c r="D38" s="2" t="s">
        <v>274</v>
      </c>
      <c r="E38" s="2" t="s">
        <v>275</v>
      </c>
      <c r="F38" s="2" t="s">
        <v>15</v>
      </c>
      <c r="G38" s="3" t="s">
        <v>16</v>
      </c>
      <c r="H38" s="2">
        <v>1</v>
      </c>
      <c r="I38" s="4">
        <v>0</v>
      </c>
      <c r="J38" s="2"/>
      <c r="K38" s="2" t="s">
        <v>325</v>
      </c>
    </row>
    <row r="39" spans="1:11" ht="30" x14ac:dyDescent="0.25">
      <c r="A39" s="2" t="s">
        <v>301</v>
      </c>
      <c r="B39" s="2" t="s">
        <v>55</v>
      </c>
      <c r="C39" s="2" t="s">
        <v>45</v>
      </c>
      <c r="D39" s="2" t="s">
        <v>276</v>
      </c>
      <c r="E39" s="2" t="s">
        <v>277</v>
      </c>
      <c r="F39" s="2" t="s">
        <v>52</v>
      </c>
      <c r="G39" s="3" t="s">
        <v>133</v>
      </c>
      <c r="H39" s="2">
        <v>3</v>
      </c>
      <c r="I39" s="4">
        <v>0</v>
      </c>
      <c r="J39" s="2"/>
      <c r="K39" s="2" t="s">
        <v>326</v>
      </c>
    </row>
    <row r="40" spans="1:11" ht="60" x14ac:dyDescent="0.25">
      <c r="A40" s="2" t="s">
        <v>122</v>
      </c>
      <c r="B40" s="2" t="s">
        <v>123</v>
      </c>
      <c r="C40" s="2" t="s">
        <v>45</v>
      </c>
      <c r="D40" s="2" t="s">
        <v>270</v>
      </c>
      <c r="E40" s="2" t="s">
        <v>271</v>
      </c>
      <c r="F40" s="2" t="s">
        <v>15</v>
      </c>
      <c r="G40" s="3" t="s">
        <v>16</v>
      </c>
      <c r="H40" s="2">
        <v>1</v>
      </c>
      <c r="I40" s="4">
        <v>100</v>
      </c>
      <c r="J40" s="2"/>
      <c r="K40" s="2" t="s">
        <v>331</v>
      </c>
    </row>
    <row r="41" spans="1:11" ht="75" x14ac:dyDescent="0.25">
      <c r="A41" s="2" t="s">
        <v>124</v>
      </c>
      <c r="B41" s="2" t="s">
        <v>123</v>
      </c>
      <c r="C41" s="2" t="s">
        <v>45</v>
      </c>
      <c r="D41" s="2" t="s">
        <v>125</v>
      </c>
      <c r="E41" s="2" t="s">
        <v>126</v>
      </c>
      <c r="F41" s="2" t="s">
        <v>15</v>
      </c>
      <c r="G41" s="3" t="s">
        <v>16</v>
      </c>
      <c r="H41" s="2">
        <v>1</v>
      </c>
      <c r="I41" s="4">
        <v>100</v>
      </c>
      <c r="J41" s="2"/>
      <c r="K41" s="2" t="s">
        <v>332</v>
      </c>
    </row>
    <row r="42" spans="1:11" ht="105" x14ac:dyDescent="0.25">
      <c r="A42" s="2" t="s">
        <v>127</v>
      </c>
      <c r="B42" s="2" t="s">
        <v>123</v>
      </c>
      <c r="C42" s="2" t="s">
        <v>45</v>
      </c>
      <c r="D42" s="2" t="s">
        <v>128</v>
      </c>
      <c r="E42" s="2" t="s">
        <v>272</v>
      </c>
      <c r="F42" s="2" t="s">
        <v>48</v>
      </c>
      <c r="G42" s="3" t="s">
        <v>16</v>
      </c>
      <c r="H42" s="2">
        <v>1</v>
      </c>
      <c r="I42" s="4">
        <v>100</v>
      </c>
      <c r="J42" s="2"/>
      <c r="K42" s="2" t="s">
        <v>333</v>
      </c>
    </row>
    <row r="43" spans="1:11" ht="240" x14ac:dyDescent="0.25">
      <c r="A43" s="2" t="s">
        <v>129</v>
      </c>
      <c r="B43" s="2" t="s">
        <v>123</v>
      </c>
      <c r="C43" s="2" t="s">
        <v>45</v>
      </c>
      <c r="D43" s="2" t="s">
        <v>278</v>
      </c>
      <c r="E43" s="2" t="s">
        <v>273</v>
      </c>
      <c r="F43" s="2" t="s">
        <v>52</v>
      </c>
      <c r="G43" s="5" t="s">
        <v>53</v>
      </c>
      <c r="H43" s="2">
        <v>2</v>
      </c>
      <c r="I43" s="4">
        <v>50</v>
      </c>
      <c r="J43" s="2"/>
      <c r="K43" s="2" t="s">
        <v>335</v>
      </c>
    </row>
    <row r="44" spans="1:11" ht="60" x14ac:dyDescent="0.25">
      <c r="A44" s="2" t="s">
        <v>130</v>
      </c>
      <c r="B44" s="2" t="s">
        <v>123</v>
      </c>
      <c r="C44" s="2" t="s">
        <v>45</v>
      </c>
      <c r="D44" s="2" t="s">
        <v>131</v>
      </c>
      <c r="E44" s="2" t="s">
        <v>132</v>
      </c>
      <c r="F44" s="2" t="s">
        <v>48</v>
      </c>
      <c r="G44" s="6" t="s">
        <v>133</v>
      </c>
      <c r="H44" s="2">
        <v>3</v>
      </c>
      <c r="I44" s="4">
        <v>0</v>
      </c>
      <c r="J44" s="2"/>
      <c r="K44" s="2" t="s">
        <v>334</v>
      </c>
    </row>
    <row r="45" spans="1:11" ht="60" x14ac:dyDescent="0.25">
      <c r="A45" s="2" t="s">
        <v>134</v>
      </c>
      <c r="B45" s="2" t="s">
        <v>282</v>
      </c>
      <c r="C45" s="2" t="s">
        <v>45</v>
      </c>
      <c r="D45" s="2" t="s">
        <v>283</v>
      </c>
      <c r="E45" s="2" t="s">
        <v>284</v>
      </c>
      <c r="F45" s="2" t="s">
        <v>15</v>
      </c>
      <c r="G45" s="3" t="s">
        <v>16</v>
      </c>
      <c r="H45" s="2">
        <v>1</v>
      </c>
      <c r="I45" s="4">
        <v>100</v>
      </c>
      <c r="J45" s="2"/>
      <c r="K45" s="2" t="s">
        <v>345</v>
      </c>
    </row>
    <row r="46" spans="1:11" ht="75" x14ac:dyDescent="0.25">
      <c r="A46" s="2" t="s">
        <v>136</v>
      </c>
      <c r="B46" s="2" t="s">
        <v>285</v>
      </c>
      <c r="C46" s="2" t="s">
        <v>45</v>
      </c>
      <c r="D46" s="2" t="s">
        <v>283</v>
      </c>
      <c r="E46" s="2" t="s">
        <v>284</v>
      </c>
      <c r="F46" s="2" t="s">
        <v>15</v>
      </c>
      <c r="G46" s="3" t="s">
        <v>16</v>
      </c>
      <c r="H46" s="2">
        <v>1</v>
      </c>
      <c r="I46" s="4">
        <v>100</v>
      </c>
      <c r="J46" s="2"/>
      <c r="K46" s="2" t="s">
        <v>346</v>
      </c>
    </row>
    <row r="47" spans="1:11" ht="60" x14ac:dyDescent="0.25">
      <c r="A47" s="2" t="s">
        <v>137</v>
      </c>
      <c r="B47" s="2" t="s">
        <v>286</v>
      </c>
      <c r="C47" s="2" t="s">
        <v>45</v>
      </c>
      <c r="D47" s="2" t="s">
        <v>283</v>
      </c>
      <c r="E47" s="2" t="s">
        <v>284</v>
      </c>
      <c r="F47" s="2" t="s">
        <v>15</v>
      </c>
      <c r="G47" s="5" t="s">
        <v>16</v>
      </c>
      <c r="H47" s="2">
        <v>2</v>
      </c>
      <c r="I47" s="4">
        <v>100</v>
      </c>
      <c r="J47" s="2"/>
      <c r="K47" s="2" t="s">
        <v>347</v>
      </c>
    </row>
    <row r="48" spans="1:11" ht="45" x14ac:dyDescent="0.25">
      <c r="A48" s="2" t="s">
        <v>302</v>
      </c>
      <c r="B48" s="2" t="s">
        <v>287</v>
      </c>
      <c r="C48" s="2" t="s">
        <v>45</v>
      </c>
      <c r="D48" s="2" t="s">
        <v>283</v>
      </c>
      <c r="E48" s="2" t="s">
        <v>284</v>
      </c>
      <c r="F48" s="2" t="s">
        <v>15</v>
      </c>
      <c r="G48" s="5" t="s">
        <v>16</v>
      </c>
      <c r="H48" s="2">
        <v>1</v>
      </c>
      <c r="I48" s="4">
        <v>100</v>
      </c>
      <c r="J48" s="2"/>
      <c r="K48" s="2" t="s">
        <v>348</v>
      </c>
    </row>
    <row r="49" spans="1:11" ht="165" x14ac:dyDescent="0.25">
      <c r="A49" s="2" t="s">
        <v>138</v>
      </c>
      <c r="B49" s="2" t="s">
        <v>139</v>
      </c>
      <c r="C49" s="2" t="s">
        <v>45</v>
      </c>
      <c r="D49" s="2" t="s">
        <v>140</v>
      </c>
      <c r="E49" s="2" t="s">
        <v>141</v>
      </c>
      <c r="F49" s="2" t="s">
        <v>15</v>
      </c>
      <c r="G49" s="3" t="s">
        <v>16</v>
      </c>
      <c r="H49" s="2">
        <v>1</v>
      </c>
      <c r="I49" s="4">
        <v>100</v>
      </c>
      <c r="J49" s="2"/>
      <c r="K49" s="2" t="s">
        <v>336</v>
      </c>
    </row>
    <row r="50" spans="1:11" ht="135" x14ac:dyDescent="0.25">
      <c r="A50" s="2" t="s">
        <v>142</v>
      </c>
      <c r="B50" s="2" t="s">
        <v>139</v>
      </c>
      <c r="C50" s="2" t="s">
        <v>45</v>
      </c>
      <c r="D50" s="2" t="s">
        <v>143</v>
      </c>
      <c r="E50" s="2" t="s">
        <v>144</v>
      </c>
      <c r="F50" s="2" t="s">
        <v>15</v>
      </c>
      <c r="G50" s="3" t="s">
        <v>16</v>
      </c>
      <c r="H50" s="2">
        <v>1</v>
      </c>
      <c r="I50" s="4">
        <v>0</v>
      </c>
      <c r="J50" s="2"/>
      <c r="K50" s="2" t="s">
        <v>337</v>
      </c>
    </row>
    <row r="51" spans="1:11" ht="90" x14ac:dyDescent="0.25">
      <c r="A51" s="2" t="s">
        <v>145</v>
      </c>
      <c r="B51" s="2" t="s">
        <v>139</v>
      </c>
      <c r="C51" s="2" t="s">
        <v>45</v>
      </c>
      <c r="D51" s="2" t="s">
        <v>146</v>
      </c>
      <c r="E51" s="2" t="s">
        <v>147</v>
      </c>
      <c r="F51" s="2" t="s">
        <v>15</v>
      </c>
      <c r="G51" s="3" t="s">
        <v>16</v>
      </c>
      <c r="H51" s="2">
        <v>1</v>
      </c>
      <c r="I51" s="4">
        <v>0</v>
      </c>
      <c r="J51" s="2"/>
      <c r="K51" s="2" t="s">
        <v>338</v>
      </c>
    </row>
    <row r="52" spans="1:11" ht="60" x14ac:dyDescent="0.25">
      <c r="A52" s="2" t="s">
        <v>148</v>
      </c>
      <c r="B52" s="2" t="s">
        <v>139</v>
      </c>
      <c r="C52" s="2" t="s">
        <v>45</v>
      </c>
      <c r="D52" s="2" t="s">
        <v>149</v>
      </c>
      <c r="E52" s="2" t="s">
        <v>150</v>
      </c>
      <c r="F52" s="2" t="s">
        <v>105</v>
      </c>
      <c r="G52" s="3" t="s">
        <v>16</v>
      </c>
      <c r="H52" s="2">
        <v>1</v>
      </c>
      <c r="I52" s="4">
        <v>100</v>
      </c>
      <c r="J52" s="2"/>
      <c r="K52" s="2" t="s">
        <v>339</v>
      </c>
    </row>
    <row r="53" spans="1:11" ht="45" x14ac:dyDescent="0.25">
      <c r="A53" s="2" t="s">
        <v>151</v>
      </c>
      <c r="B53" s="2" t="s">
        <v>139</v>
      </c>
      <c r="C53" s="2" t="s">
        <v>45</v>
      </c>
      <c r="D53" s="2" t="s">
        <v>152</v>
      </c>
      <c r="E53" s="2" t="s">
        <v>153</v>
      </c>
      <c r="F53" s="2" t="s">
        <v>105</v>
      </c>
      <c r="G53" s="3" t="s">
        <v>16</v>
      </c>
      <c r="H53" s="2">
        <v>1</v>
      </c>
      <c r="I53" s="4">
        <v>0</v>
      </c>
      <c r="J53" s="2"/>
      <c r="K53" s="2" t="s">
        <v>340</v>
      </c>
    </row>
    <row r="54" spans="1:11" ht="105" x14ac:dyDescent="0.25">
      <c r="A54" s="2" t="s">
        <v>154</v>
      </c>
      <c r="B54" s="2" t="s">
        <v>139</v>
      </c>
      <c r="C54" s="2" t="s">
        <v>45</v>
      </c>
      <c r="D54" s="2" t="s">
        <v>155</v>
      </c>
      <c r="E54" s="2" t="s">
        <v>156</v>
      </c>
      <c r="F54" s="2" t="s">
        <v>52</v>
      </c>
      <c r="G54" s="5" t="s">
        <v>53</v>
      </c>
      <c r="H54" s="2">
        <v>2</v>
      </c>
      <c r="I54" s="4">
        <v>0</v>
      </c>
      <c r="J54" s="2"/>
      <c r="K54" s="2" t="s">
        <v>341</v>
      </c>
    </row>
    <row r="55" spans="1:11" ht="45" x14ac:dyDescent="0.25">
      <c r="A55" s="2" t="s">
        <v>303</v>
      </c>
      <c r="B55" s="2" t="s">
        <v>139</v>
      </c>
      <c r="C55" s="2" t="s">
        <v>45</v>
      </c>
      <c r="D55" s="2" t="s">
        <v>288</v>
      </c>
      <c r="E55" s="2" t="s">
        <v>289</v>
      </c>
      <c r="F55" s="2" t="s">
        <v>15</v>
      </c>
      <c r="G55" s="3" t="s">
        <v>16</v>
      </c>
      <c r="H55" s="2">
        <v>1</v>
      </c>
      <c r="I55" s="4">
        <v>100</v>
      </c>
      <c r="J55" s="2"/>
      <c r="K55" s="2" t="s">
        <v>342</v>
      </c>
    </row>
    <row r="56" spans="1:11" ht="75" x14ac:dyDescent="0.25">
      <c r="A56" s="2" t="s">
        <v>157</v>
      </c>
      <c r="B56" s="2" t="s">
        <v>158</v>
      </c>
      <c r="C56" s="2" t="s">
        <v>45</v>
      </c>
      <c r="D56" s="2" t="s">
        <v>159</v>
      </c>
      <c r="E56" s="2" t="s">
        <v>160</v>
      </c>
      <c r="F56" s="2" t="s">
        <v>15</v>
      </c>
      <c r="G56" s="3" t="s">
        <v>16</v>
      </c>
      <c r="H56" s="2">
        <v>1</v>
      </c>
      <c r="I56" s="4">
        <v>0</v>
      </c>
      <c r="J56" s="2"/>
      <c r="K56" s="2" t="s">
        <v>349</v>
      </c>
    </row>
    <row r="57" spans="1:11" ht="75" x14ac:dyDescent="0.25">
      <c r="A57" s="2" t="s">
        <v>161</v>
      </c>
      <c r="B57" s="2" t="s">
        <v>158</v>
      </c>
      <c r="C57" s="2" t="s">
        <v>45</v>
      </c>
      <c r="D57" s="2" t="s">
        <v>162</v>
      </c>
      <c r="E57" s="2" t="s">
        <v>163</v>
      </c>
      <c r="F57" s="2" t="s">
        <v>15</v>
      </c>
      <c r="G57" s="3" t="s">
        <v>16</v>
      </c>
      <c r="H57" s="2">
        <v>1</v>
      </c>
      <c r="I57" s="4">
        <v>0</v>
      </c>
      <c r="J57" s="2"/>
      <c r="K57" s="2" t="s">
        <v>349</v>
      </c>
    </row>
    <row r="58" spans="1:11" ht="75" x14ac:dyDescent="0.25">
      <c r="A58" s="2" t="s">
        <v>164</v>
      </c>
      <c r="B58" s="2" t="s">
        <v>158</v>
      </c>
      <c r="C58" s="2" t="s">
        <v>45</v>
      </c>
      <c r="D58" s="2" t="s">
        <v>165</v>
      </c>
      <c r="E58" s="2" t="s">
        <v>166</v>
      </c>
      <c r="F58" s="2" t="s">
        <v>15</v>
      </c>
      <c r="G58" s="5" t="s">
        <v>53</v>
      </c>
      <c r="H58" s="2">
        <v>2</v>
      </c>
      <c r="I58" s="4">
        <v>0</v>
      </c>
      <c r="J58" s="2"/>
      <c r="K58" s="2" t="s">
        <v>349</v>
      </c>
    </row>
    <row r="59" spans="1:11" ht="75" x14ac:dyDescent="0.25">
      <c r="A59" s="2" t="s">
        <v>167</v>
      </c>
      <c r="B59" s="2" t="s">
        <v>158</v>
      </c>
      <c r="C59" s="2" t="s">
        <v>45</v>
      </c>
      <c r="D59" s="2" t="s">
        <v>168</v>
      </c>
      <c r="E59" s="2" t="s">
        <v>169</v>
      </c>
      <c r="F59" s="2" t="s">
        <v>52</v>
      </c>
      <c r="G59" s="5" t="s">
        <v>53</v>
      </c>
      <c r="H59" s="2">
        <v>2</v>
      </c>
      <c r="I59" s="4">
        <v>0</v>
      </c>
      <c r="J59" s="2"/>
      <c r="K59" s="2" t="s">
        <v>349</v>
      </c>
    </row>
    <row r="60" spans="1:11" ht="75" x14ac:dyDescent="0.25">
      <c r="A60" s="2" t="s">
        <v>170</v>
      </c>
      <c r="B60" s="2" t="s">
        <v>158</v>
      </c>
      <c r="C60" s="2" t="s">
        <v>45</v>
      </c>
      <c r="D60" s="2" t="s">
        <v>171</v>
      </c>
      <c r="E60" s="2" t="s">
        <v>172</v>
      </c>
      <c r="F60" s="2" t="s">
        <v>15</v>
      </c>
      <c r="G60" s="3" t="s">
        <v>16</v>
      </c>
      <c r="H60" s="2">
        <v>1</v>
      </c>
      <c r="I60" s="4">
        <v>0</v>
      </c>
      <c r="J60" s="2"/>
      <c r="K60" s="2" t="s">
        <v>349</v>
      </c>
    </row>
    <row r="61" spans="1:11" ht="90" x14ac:dyDescent="0.25">
      <c r="A61" s="2" t="s">
        <v>173</v>
      </c>
      <c r="B61" s="2" t="s">
        <v>174</v>
      </c>
      <c r="C61" s="2" t="s">
        <v>45</v>
      </c>
      <c r="D61" s="2" t="s">
        <v>175</v>
      </c>
      <c r="E61" s="2" t="s">
        <v>176</v>
      </c>
      <c r="F61" s="2" t="s">
        <v>15</v>
      </c>
      <c r="G61" s="3" t="s">
        <v>16</v>
      </c>
      <c r="H61" s="2">
        <v>1</v>
      </c>
      <c r="I61" s="4">
        <v>25</v>
      </c>
      <c r="J61" s="2"/>
      <c r="K61" s="2" t="s">
        <v>350</v>
      </c>
    </row>
    <row r="62" spans="1:11" ht="45" x14ac:dyDescent="0.25">
      <c r="A62" s="2" t="s">
        <v>177</v>
      </c>
      <c r="B62" s="2" t="s">
        <v>174</v>
      </c>
      <c r="C62" s="2" t="s">
        <v>45</v>
      </c>
      <c r="D62" s="2" t="s">
        <v>178</v>
      </c>
      <c r="E62" s="2" t="s">
        <v>179</v>
      </c>
      <c r="F62" s="2" t="s">
        <v>15</v>
      </c>
      <c r="G62" s="5" t="s">
        <v>53</v>
      </c>
      <c r="H62" s="2">
        <v>2</v>
      </c>
      <c r="I62" s="4">
        <v>0</v>
      </c>
      <c r="J62" s="2"/>
      <c r="K62" s="2" t="s">
        <v>351</v>
      </c>
    </row>
    <row r="63" spans="1:11" ht="30" x14ac:dyDescent="0.25">
      <c r="A63" s="2" t="s">
        <v>180</v>
      </c>
      <c r="B63" s="2" t="s">
        <v>174</v>
      </c>
      <c r="C63" s="2" t="s">
        <v>45</v>
      </c>
      <c r="D63" s="2" t="s">
        <v>181</v>
      </c>
      <c r="E63" s="2" t="s">
        <v>182</v>
      </c>
      <c r="F63" s="2" t="s">
        <v>15</v>
      </c>
      <c r="G63" s="5" t="s">
        <v>53</v>
      </c>
      <c r="H63" s="2">
        <v>2</v>
      </c>
      <c r="I63" s="4">
        <v>0</v>
      </c>
      <c r="J63" s="2"/>
      <c r="K63" s="2" t="s">
        <v>352</v>
      </c>
    </row>
    <row r="64" spans="1:11" ht="45" x14ac:dyDescent="0.25">
      <c r="A64" s="2" t="s">
        <v>183</v>
      </c>
      <c r="B64" s="2" t="s">
        <v>174</v>
      </c>
      <c r="C64" s="2" t="s">
        <v>45</v>
      </c>
      <c r="D64" s="2" t="s">
        <v>184</v>
      </c>
      <c r="E64" s="2" t="s">
        <v>185</v>
      </c>
      <c r="F64" s="2" t="s">
        <v>52</v>
      </c>
      <c r="G64" s="6" t="s">
        <v>133</v>
      </c>
      <c r="H64" s="2">
        <v>3</v>
      </c>
      <c r="I64" s="4">
        <v>0</v>
      </c>
      <c r="J64" s="2"/>
      <c r="K64" s="2" t="s">
        <v>353</v>
      </c>
    </row>
    <row r="65" spans="1:11" ht="75" x14ac:dyDescent="0.25">
      <c r="A65" s="2" t="s">
        <v>186</v>
      </c>
      <c r="B65" s="2" t="s">
        <v>187</v>
      </c>
      <c r="C65" s="2" t="s">
        <v>45</v>
      </c>
      <c r="D65" s="2" t="s">
        <v>188</v>
      </c>
      <c r="E65" s="2" t="s">
        <v>189</v>
      </c>
      <c r="F65" s="2" t="s">
        <v>15</v>
      </c>
      <c r="G65" s="3" t="s">
        <v>16</v>
      </c>
      <c r="H65" s="2">
        <v>1</v>
      </c>
      <c r="I65" s="4">
        <v>25</v>
      </c>
      <c r="J65" s="2"/>
      <c r="K65" s="2" t="s">
        <v>354</v>
      </c>
    </row>
    <row r="66" spans="1:11" ht="150" x14ac:dyDescent="0.25">
      <c r="A66" s="2" t="s">
        <v>190</v>
      </c>
      <c r="B66" s="2" t="s">
        <v>187</v>
      </c>
      <c r="C66" s="2" t="s">
        <v>45</v>
      </c>
      <c r="D66" s="2" t="s">
        <v>191</v>
      </c>
      <c r="E66" s="2" t="s">
        <v>192</v>
      </c>
      <c r="F66" s="2" t="s">
        <v>15</v>
      </c>
      <c r="G66" s="3" t="s">
        <v>16</v>
      </c>
      <c r="H66" s="2">
        <v>1</v>
      </c>
      <c r="I66" s="4">
        <v>0</v>
      </c>
      <c r="J66" s="2"/>
      <c r="K66" s="2" t="s">
        <v>355</v>
      </c>
    </row>
    <row r="67" spans="1:11" ht="45" x14ac:dyDescent="0.25">
      <c r="A67" s="2" t="s">
        <v>193</v>
      </c>
      <c r="B67" s="2" t="s">
        <v>187</v>
      </c>
      <c r="C67" s="2" t="s">
        <v>45</v>
      </c>
      <c r="D67" s="2" t="s">
        <v>194</v>
      </c>
      <c r="E67" s="2" t="s">
        <v>195</v>
      </c>
      <c r="F67" s="2" t="s">
        <v>15</v>
      </c>
      <c r="G67" s="3" t="s">
        <v>16</v>
      </c>
      <c r="H67" s="2">
        <v>1</v>
      </c>
      <c r="I67" s="4">
        <v>0</v>
      </c>
      <c r="J67" s="2"/>
      <c r="K67" s="2" t="s">
        <v>356</v>
      </c>
    </row>
    <row r="68" spans="1:11" ht="45" x14ac:dyDescent="0.25">
      <c r="A68" s="2" t="s">
        <v>196</v>
      </c>
      <c r="B68" s="2" t="s">
        <v>187</v>
      </c>
      <c r="C68" s="2" t="s">
        <v>45</v>
      </c>
      <c r="D68" s="2" t="s">
        <v>197</v>
      </c>
      <c r="E68" s="2" t="s">
        <v>198</v>
      </c>
      <c r="F68" s="2" t="s">
        <v>48</v>
      </c>
      <c r="G68" s="3" t="s">
        <v>16</v>
      </c>
      <c r="H68" s="2">
        <v>1</v>
      </c>
      <c r="I68" s="4">
        <v>0</v>
      </c>
      <c r="J68" s="2"/>
      <c r="K68" s="2" t="s">
        <v>357</v>
      </c>
    </row>
    <row r="69" spans="1:11" ht="45" x14ac:dyDescent="0.25">
      <c r="A69" s="2" t="s">
        <v>199</v>
      </c>
      <c r="B69" s="2" t="s">
        <v>187</v>
      </c>
      <c r="C69" s="2" t="s">
        <v>45</v>
      </c>
      <c r="D69" s="2" t="s">
        <v>200</v>
      </c>
      <c r="E69" s="2" t="s">
        <v>201</v>
      </c>
      <c r="F69" s="2" t="s">
        <v>52</v>
      </c>
      <c r="G69" s="5" t="s">
        <v>53</v>
      </c>
      <c r="H69" s="2">
        <v>2</v>
      </c>
      <c r="I69" s="4">
        <v>0</v>
      </c>
      <c r="J69" s="2"/>
      <c r="K69" s="2" t="s">
        <v>358</v>
      </c>
    </row>
    <row r="70" spans="1:11" ht="60" x14ac:dyDescent="0.25">
      <c r="A70" s="2" t="s">
        <v>202</v>
      </c>
      <c r="B70" s="2" t="s">
        <v>187</v>
      </c>
      <c r="C70" s="2" t="s">
        <v>45</v>
      </c>
      <c r="D70" s="2" t="s">
        <v>203</v>
      </c>
      <c r="E70" s="2" t="s">
        <v>204</v>
      </c>
      <c r="F70" s="2" t="s">
        <v>15</v>
      </c>
      <c r="G70" s="3" t="s">
        <v>16</v>
      </c>
      <c r="H70" s="2">
        <v>1</v>
      </c>
      <c r="I70" s="4">
        <v>0</v>
      </c>
      <c r="J70" s="2"/>
      <c r="K70" s="2" t="s">
        <v>359</v>
      </c>
    </row>
    <row r="71" spans="1:11" ht="45" x14ac:dyDescent="0.25">
      <c r="A71" s="2" t="s">
        <v>205</v>
      </c>
      <c r="B71" s="2" t="s">
        <v>279</v>
      </c>
      <c r="C71" s="2" t="s">
        <v>281</v>
      </c>
      <c r="D71" s="2" t="s">
        <v>207</v>
      </c>
      <c r="E71" s="2" t="s">
        <v>208</v>
      </c>
      <c r="F71" s="2" t="s">
        <v>15</v>
      </c>
      <c r="G71" s="5" t="s">
        <v>53</v>
      </c>
      <c r="H71" s="2">
        <v>2</v>
      </c>
      <c r="I71" s="4">
        <v>100</v>
      </c>
      <c r="J71" s="2"/>
      <c r="K71" s="2" t="s">
        <v>360</v>
      </c>
    </row>
    <row r="72" spans="1:11" ht="45" x14ac:dyDescent="0.25">
      <c r="A72" s="2" t="s">
        <v>209</v>
      </c>
      <c r="B72" s="2" t="s">
        <v>280</v>
      </c>
      <c r="C72" s="2" t="s">
        <v>281</v>
      </c>
      <c r="D72" s="2" t="s">
        <v>210</v>
      </c>
      <c r="E72" s="2" t="s">
        <v>211</v>
      </c>
      <c r="F72" s="2" t="s">
        <v>15</v>
      </c>
      <c r="G72" s="5" t="s">
        <v>53</v>
      </c>
      <c r="H72" s="2">
        <v>2</v>
      </c>
      <c r="I72" s="4">
        <v>100</v>
      </c>
      <c r="J72" s="2"/>
      <c r="K72" s="2" t="s">
        <v>361</v>
      </c>
    </row>
    <row r="73" spans="1:11" ht="45" x14ac:dyDescent="0.25">
      <c r="A73" s="2" t="s">
        <v>212</v>
      </c>
      <c r="B73" s="2" t="s">
        <v>279</v>
      </c>
      <c r="C73" s="2" t="s">
        <v>281</v>
      </c>
      <c r="D73" s="2" t="s">
        <v>213</v>
      </c>
      <c r="E73" s="2" t="s">
        <v>214</v>
      </c>
      <c r="F73" s="2" t="s">
        <v>15</v>
      </c>
      <c r="G73" s="3" t="s">
        <v>16</v>
      </c>
      <c r="H73" s="2">
        <v>1</v>
      </c>
      <c r="I73" s="4">
        <v>0</v>
      </c>
      <c r="J73" s="2"/>
      <c r="K73" s="2" t="s">
        <v>362</v>
      </c>
    </row>
    <row r="74" spans="1:11" ht="45" x14ac:dyDescent="0.25">
      <c r="A74" s="2" t="s">
        <v>215</v>
      </c>
      <c r="B74" s="2" t="s">
        <v>279</v>
      </c>
      <c r="C74" s="2" t="s">
        <v>281</v>
      </c>
      <c r="D74" s="2" t="s">
        <v>216</v>
      </c>
      <c r="E74" s="2" t="s">
        <v>217</v>
      </c>
      <c r="F74" s="2" t="s">
        <v>52</v>
      </c>
      <c r="G74" s="3" t="s">
        <v>16</v>
      </c>
      <c r="H74" s="2">
        <v>1</v>
      </c>
      <c r="I74" s="4">
        <v>0</v>
      </c>
      <c r="J74" s="2"/>
      <c r="K74" s="2" t="s">
        <v>363</v>
      </c>
    </row>
    <row r="75" spans="1:11" ht="120" x14ac:dyDescent="0.25">
      <c r="A75" s="2" t="s">
        <v>219</v>
      </c>
      <c r="B75" s="2" t="s">
        <v>220</v>
      </c>
      <c r="C75" s="2" t="s">
        <v>45</v>
      </c>
      <c r="D75" s="2" t="s">
        <v>221</v>
      </c>
      <c r="E75" s="2" t="s">
        <v>222</v>
      </c>
      <c r="F75" s="2" t="s">
        <v>105</v>
      </c>
      <c r="G75" s="3" t="s">
        <v>16</v>
      </c>
      <c r="H75" s="2">
        <v>1</v>
      </c>
      <c r="I75" s="4">
        <v>0</v>
      </c>
      <c r="J75" s="2"/>
      <c r="K75" s="2" t="s">
        <v>364</v>
      </c>
    </row>
    <row r="76" spans="1:11" ht="120" x14ac:dyDescent="0.25">
      <c r="A76" s="2" t="s">
        <v>223</v>
      </c>
      <c r="B76" s="2" t="s">
        <v>220</v>
      </c>
      <c r="C76" s="2" t="s">
        <v>45</v>
      </c>
      <c r="D76" s="2" t="s">
        <v>224</v>
      </c>
      <c r="E76" s="2" t="s">
        <v>225</v>
      </c>
      <c r="F76" s="2" t="s">
        <v>105</v>
      </c>
      <c r="G76" s="3" t="s">
        <v>16</v>
      </c>
      <c r="H76" s="2">
        <v>1</v>
      </c>
      <c r="I76" s="4">
        <v>0</v>
      </c>
      <c r="J76" s="2"/>
      <c r="K76" s="2" t="s">
        <v>364</v>
      </c>
    </row>
    <row r="77" spans="1:11" ht="120" x14ac:dyDescent="0.25">
      <c r="A77" s="2" t="s">
        <v>226</v>
      </c>
      <c r="B77" s="2" t="s">
        <v>220</v>
      </c>
      <c r="C77" s="2" t="s">
        <v>45</v>
      </c>
      <c r="D77" s="2" t="s">
        <v>227</v>
      </c>
      <c r="E77" s="2" t="s">
        <v>228</v>
      </c>
      <c r="F77" s="2" t="s">
        <v>52</v>
      </c>
      <c r="G77" s="3" t="s">
        <v>16</v>
      </c>
      <c r="H77" s="2">
        <v>1</v>
      </c>
      <c r="I77" s="4">
        <v>0</v>
      </c>
      <c r="J77" s="2"/>
      <c r="K77" s="2" t="s">
        <v>364</v>
      </c>
    </row>
    <row r="78" spans="1:11" ht="120" x14ac:dyDescent="0.25">
      <c r="A78" s="2" t="s">
        <v>229</v>
      </c>
      <c r="B78" s="2" t="s">
        <v>220</v>
      </c>
      <c r="C78" s="2" t="s">
        <v>45</v>
      </c>
      <c r="D78" s="2" t="s">
        <v>230</v>
      </c>
      <c r="E78" s="2" t="s">
        <v>231</v>
      </c>
      <c r="F78" s="2" t="s">
        <v>105</v>
      </c>
      <c r="G78" s="3" t="s">
        <v>16</v>
      </c>
      <c r="H78" s="2">
        <v>1</v>
      </c>
      <c r="I78" s="4">
        <v>0</v>
      </c>
      <c r="J78" s="2"/>
      <c r="K78" s="2" t="s">
        <v>364</v>
      </c>
    </row>
    <row r="79" spans="1:11" x14ac:dyDescent="0.25">
      <c r="A79" t="s">
        <v>365</v>
      </c>
      <c r="B79" t="s">
        <v>366</v>
      </c>
      <c r="C79" t="s">
        <v>45</v>
      </c>
      <c r="D79" t="s">
        <v>367</v>
      </c>
      <c r="E79" t="s">
        <v>368</v>
      </c>
      <c r="F79" t="s">
        <v>52</v>
      </c>
      <c r="G79" t="s">
        <v>16</v>
      </c>
      <c r="H79">
        <v>1</v>
      </c>
      <c r="I79">
        <v>0</v>
      </c>
      <c r="K79" t="s">
        <v>369</v>
      </c>
    </row>
    <row r="80" spans="1:11" x14ac:dyDescent="0.25">
      <c r="A80" t="s">
        <v>370</v>
      </c>
      <c r="B80" t="s">
        <v>366</v>
      </c>
      <c r="C80" t="s">
        <v>45</v>
      </c>
      <c r="D80" t="s">
        <v>371</v>
      </c>
      <c r="E80" t="s">
        <v>372</v>
      </c>
      <c r="F80" t="s">
        <v>373</v>
      </c>
      <c r="G80" t="s">
        <v>16</v>
      </c>
      <c r="H80">
        <v>1</v>
      </c>
      <c r="I80">
        <v>0</v>
      </c>
      <c r="K80" t="s">
        <v>374</v>
      </c>
    </row>
    <row r="81" spans="1:11" x14ac:dyDescent="0.25">
      <c r="A81" t="s">
        <v>375</v>
      </c>
      <c r="B81" t="s">
        <v>366</v>
      </c>
      <c r="C81" t="s">
        <v>45</v>
      </c>
      <c r="D81" t="s">
        <v>376</v>
      </c>
      <c r="E81" t="s">
        <v>377</v>
      </c>
      <c r="F81" t="s">
        <v>378</v>
      </c>
      <c r="G81" t="s">
        <v>53</v>
      </c>
      <c r="H81">
        <v>2</v>
      </c>
      <c r="I81">
        <v>0</v>
      </c>
      <c r="K81" t="s">
        <v>379</v>
      </c>
    </row>
    <row r="82" spans="1:11" x14ac:dyDescent="0.25">
      <c r="A82" t="s">
        <v>380</v>
      </c>
      <c r="B82" t="s">
        <v>381</v>
      </c>
      <c r="C82" t="s">
        <v>45</v>
      </c>
      <c r="D82" t="s">
        <v>382</v>
      </c>
      <c r="E82" t="s">
        <v>383</v>
      </c>
      <c r="F82" t="s">
        <v>15</v>
      </c>
      <c r="G82" t="s">
        <v>16</v>
      </c>
      <c r="H82">
        <v>1</v>
      </c>
      <c r="I82">
        <v>100</v>
      </c>
      <c r="K82" t="s">
        <v>384</v>
      </c>
    </row>
    <row r="83" spans="1:11" x14ac:dyDescent="0.25">
      <c r="A83" t="s">
        <v>385</v>
      </c>
      <c r="B83" t="s">
        <v>381</v>
      </c>
      <c r="C83" t="s">
        <v>45</v>
      </c>
      <c r="D83" t="s">
        <v>386</v>
      </c>
      <c r="E83" t="s">
        <v>387</v>
      </c>
      <c r="F83" t="s">
        <v>15</v>
      </c>
      <c r="G83" t="s">
        <v>16</v>
      </c>
      <c r="H83">
        <v>1</v>
      </c>
      <c r="I83">
        <v>100</v>
      </c>
      <c r="K83" t="s">
        <v>388</v>
      </c>
    </row>
    <row r="84" spans="1:11" x14ac:dyDescent="0.25">
      <c r="A84" t="s">
        <v>389</v>
      </c>
      <c r="B84" t="s">
        <v>135</v>
      </c>
      <c r="C84" t="s">
        <v>45</v>
      </c>
      <c r="D84" t="s">
        <v>390</v>
      </c>
      <c r="E84" t="s">
        <v>391</v>
      </c>
      <c r="F84" t="s">
        <v>15</v>
      </c>
      <c r="G84" t="s">
        <v>53</v>
      </c>
      <c r="H84">
        <v>2</v>
      </c>
      <c r="I84">
        <v>100</v>
      </c>
      <c r="K84" t="s">
        <v>392</v>
      </c>
    </row>
    <row r="85" spans="1:11" x14ac:dyDescent="0.25">
      <c r="A85" t="s">
        <v>393</v>
      </c>
      <c r="B85" t="s">
        <v>187</v>
      </c>
      <c r="C85" t="s">
        <v>45</v>
      </c>
      <c r="D85" t="s">
        <v>394</v>
      </c>
      <c r="E85" t="s">
        <v>395</v>
      </c>
      <c r="F85" t="s">
        <v>15</v>
      </c>
      <c r="G85" t="s">
        <v>133</v>
      </c>
      <c r="H85">
        <v>3</v>
      </c>
      <c r="I85">
        <v>100</v>
      </c>
      <c r="K85" t="s">
        <v>396</v>
      </c>
    </row>
    <row r="86" spans="1:11" x14ac:dyDescent="0.25">
      <c r="A86" t="s">
        <v>397</v>
      </c>
      <c r="B86" t="s">
        <v>398</v>
      </c>
      <c r="C86" t="s">
        <v>45</v>
      </c>
      <c r="D86" t="s">
        <v>399</v>
      </c>
      <c r="E86" t="s">
        <v>400</v>
      </c>
      <c r="F86" t="s">
        <v>378</v>
      </c>
      <c r="G86" t="s">
        <v>16</v>
      </c>
      <c r="H86">
        <v>1</v>
      </c>
      <c r="I86">
        <v>0</v>
      </c>
      <c r="J86" t="s">
        <v>401</v>
      </c>
      <c r="K86" t="s">
        <v>402</v>
      </c>
    </row>
    <row r="87" spans="1:11" x14ac:dyDescent="0.25">
      <c r="A87" t="s">
        <v>403</v>
      </c>
      <c r="B87" t="s">
        <v>398</v>
      </c>
      <c r="C87" t="s">
        <v>45</v>
      </c>
      <c r="D87" t="s">
        <v>404</v>
      </c>
      <c r="E87" t="s">
        <v>405</v>
      </c>
      <c r="F87" t="s">
        <v>378</v>
      </c>
      <c r="G87" t="s">
        <v>16</v>
      </c>
      <c r="H87">
        <v>1</v>
      </c>
      <c r="I87">
        <v>0</v>
      </c>
      <c r="J87" t="s">
        <v>406</v>
      </c>
      <c r="K87" t="s">
        <v>407</v>
      </c>
    </row>
    <row r="88" spans="1:11" x14ac:dyDescent="0.25">
      <c r="A88" t="s">
        <v>408</v>
      </c>
      <c r="B88" t="s">
        <v>280</v>
      </c>
      <c r="C88" t="s">
        <v>45</v>
      </c>
      <c r="D88" t="s">
        <v>409</v>
      </c>
      <c r="E88" t="s">
        <v>410</v>
      </c>
      <c r="F88" t="s">
        <v>15</v>
      </c>
      <c r="G88" t="s">
        <v>16</v>
      </c>
      <c r="H88">
        <v>1</v>
      </c>
      <c r="I88">
        <v>100</v>
      </c>
      <c r="K88" t="s">
        <v>411</v>
      </c>
    </row>
    <row r="89" spans="1:11" x14ac:dyDescent="0.25">
      <c r="A89" t="s">
        <v>412</v>
      </c>
      <c r="B89" t="s">
        <v>280</v>
      </c>
      <c r="C89" t="s">
        <v>45</v>
      </c>
      <c r="D89" t="s">
        <v>413</v>
      </c>
      <c r="E89" t="s">
        <v>414</v>
      </c>
      <c r="F89" t="s">
        <v>15</v>
      </c>
      <c r="G89" t="s">
        <v>16</v>
      </c>
      <c r="H89">
        <v>1</v>
      </c>
      <c r="I89">
        <v>100</v>
      </c>
      <c r="K89" t="s">
        <v>415</v>
      </c>
    </row>
  </sheetData>
  <autoFilter ref="A1:K78" xr:uid="{00000000-0009-0000-0000-000000000000}"/>
  <conditionalFormatting sqref="I2:I78">
    <cfRule type="colorScale" priority="1">
      <colorScale>
        <cfvo type="num" val="0"/>
        <cfvo type="num" val="50"/>
        <cfvo type="num" val="100"/>
        <color rgb="FFF4CCCC"/>
        <color rgb="FFFCE5CD"/>
        <color rgb="FFD9EAD3"/>
      </colorScale>
    </cfRule>
  </conditionalFormatting>
  <dataValidations count="3">
    <dataValidation type="list" sqref="I2:I78" xr:uid="{00000000-0002-0000-0000-000000000000}">
      <formula1>"0,25,50,75,100"</formula1>
    </dataValidation>
    <dataValidation type="list" sqref="G2:G78" xr:uid="{00000000-0002-0000-0000-000001000000}">
      <formula1>"Alta,Media,Baja"</formula1>
    </dataValidation>
    <dataValidation type="list" sqref="F2:F78" xr:uid="{00000000-0002-0000-0000-000002000000}">
      <formula1>"Happy Path,Negativo,Validación,Regresión"</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3"/>
  <sheetViews>
    <sheetView showGridLines="0" workbookViewId="0">
      <pane xSplit="1" ySplit="6" topLeftCell="B7" activePane="bottomRight" state="frozen"/>
      <selection pane="topRight"/>
      <selection pane="bottomLeft"/>
      <selection pane="bottomRight"/>
    </sheetView>
  </sheetViews>
  <sheetFormatPr baseColWidth="10" defaultColWidth="8.85546875" defaultRowHeight="15" x14ac:dyDescent="0.25"/>
  <cols>
    <col min="1" max="1" width="3" customWidth="1"/>
    <col min="2" max="2" width="28.5703125" bestFit="1" customWidth="1"/>
    <col min="3" max="3" width="15" customWidth="1"/>
    <col min="4" max="4" width="18" customWidth="1"/>
    <col min="5" max="5" width="12.7109375" customWidth="1"/>
    <col min="6" max="7" width="3" customWidth="1"/>
    <col min="8" max="9" width="18" customWidth="1"/>
    <col min="10" max="10" width="3" customWidth="1"/>
  </cols>
  <sheetData>
    <row r="1" spans="1:10" x14ac:dyDescent="0.25">
      <c r="A1" s="7"/>
      <c r="B1" s="7"/>
      <c r="C1" s="7"/>
      <c r="D1" s="7"/>
      <c r="E1" s="7"/>
      <c r="F1" s="7"/>
      <c r="G1" s="7"/>
      <c r="H1" s="7"/>
      <c r="I1" s="7"/>
      <c r="J1" s="7"/>
    </row>
    <row r="2" spans="1:10" x14ac:dyDescent="0.25">
      <c r="A2" s="7"/>
      <c r="B2" s="15" t="s">
        <v>232</v>
      </c>
      <c r="C2" s="16"/>
      <c r="D2" s="16"/>
      <c r="E2" s="16"/>
      <c r="F2" s="16"/>
      <c r="G2" s="16"/>
      <c r="H2" s="16"/>
      <c r="I2" s="16"/>
      <c r="J2" s="16"/>
    </row>
    <row r="3" spans="1:10" x14ac:dyDescent="0.25">
      <c r="A3" s="7"/>
      <c r="B3" s="16"/>
      <c r="C3" s="16"/>
      <c r="D3" s="16"/>
      <c r="E3" s="16"/>
      <c r="F3" s="16"/>
      <c r="G3" s="16"/>
      <c r="H3" s="16"/>
      <c r="I3" s="16"/>
      <c r="J3" s="16"/>
    </row>
    <row r="4" spans="1:10" x14ac:dyDescent="0.25">
      <c r="A4" s="7"/>
      <c r="B4" s="7"/>
      <c r="C4" s="7"/>
      <c r="D4" s="7"/>
      <c r="E4" s="7"/>
      <c r="F4" s="7"/>
      <c r="G4" s="7"/>
      <c r="H4" s="7"/>
      <c r="I4" s="7"/>
      <c r="J4" s="7"/>
    </row>
    <row r="5" spans="1:10" ht="21" x14ac:dyDescent="0.25">
      <c r="A5" s="7"/>
      <c r="B5" s="8" t="s">
        <v>233</v>
      </c>
      <c r="C5" s="7"/>
      <c r="D5" s="7"/>
      <c r="E5" s="7"/>
      <c r="F5" s="7"/>
      <c r="G5" s="7"/>
      <c r="H5" s="7"/>
      <c r="I5" s="7"/>
      <c r="J5" s="7"/>
    </row>
    <row r="6" spans="1:10" x14ac:dyDescent="0.25">
      <c r="A6" s="7"/>
      <c r="B6" s="7"/>
      <c r="C6" s="7"/>
      <c r="D6" s="7"/>
      <c r="E6" s="7"/>
      <c r="F6" s="7"/>
      <c r="G6" s="7"/>
      <c r="H6" s="7"/>
      <c r="I6" s="7"/>
      <c r="J6" s="7"/>
    </row>
    <row r="7" spans="1:10" x14ac:dyDescent="0.25">
      <c r="A7" s="7"/>
      <c r="B7" s="17" t="s">
        <v>234</v>
      </c>
      <c r="C7" s="18"/>
      <c r="D7" s="7"/>
      <c r="E7" s="17" t="s">
        <v>235</v>
      </c>
      <c r="F7" s="18"/>
      <c r="G7" s="7"/>
      <c r="H7" s="17" t="s">
        <v>236</v>
      </c>
      <c r="I7" s="18"/>
      <c r="J7" s="7"/>
    </row>
    <row r="8" spans="1:10" ht="30" customHeight="1" x14ac:dyDescent="0.25">
      <c r="A8" s="7"/>
      <c r="B8" s="20">
        <f>COUNTA('Roadmap QA Automation'!A2:A1998)</f>
        <v>88</v>
      </c>
      <c r="C8" s="18"/>
      <c r="D8" s="7"/>
      <c r="E8" s="21">
        <f>IFERROR(AVERAGE('Roadmap QA Automation'!I2:I1998)/100,0)</f>
        <v>0.40340909090909094</v>
      </c>
      <c r="F8" s="18"/>
      <c r="G8" s="7"/>
      <c r="H8" s="19">
        <f>COUNTIF('Roadmap QA Automation'!I2:I1998,100)</f>
        <v>32</v>
      </c>
      <c r="I8" s="18"/>
      <c r="J8" s="7"/>
    </row>
    <row r="9" spans="1:10" x14ac:dyDescent="0.25">
      <c r="A9" s="7"/>
      <c r="B9" s="7"/>
      <c r="C9" s="7"/>
      <c r="D9" s="7"/>
      <c r="E9" s="7"/>
      <c r="F9" s="7"/>
      <c r="G9" s="7"/>
      <c r="H9" s="7"/>
      <c r="I9" s="7"/>
      <c r="J9" s="7"/>
    </row>
    <row r="10" spans="1:10" x14ac:dyDescent="0.25">
      <c r="A10" s="7"/>
      <c r="B10" s="7"/>
      <c r="C10" s="7"/>
      <c r="D10" s="7"/>
      <c r="E10" s="7"/>
      <c r="F10" s="7"/>
      <c r="G10" s="7"/>
      <c r="H10" s="7"/>
      <c r="I10" s="7"/>
      <c r="J10" s="7"/>
    </row>
    <row r="11" spans="1:10" x14ac:dyDescent="0.25">
      <c r="A11" s="7"/>
      <c r="B11" s="7"/>
      <c r="C11" s="7"/>
      <c r="D11" s="7"/>
      <c r="E11" s="7"/>
      <c r="F11" s="7"/>
      <c r="G11" s="7"/>
      <c r="H11" s="7"/>
      <c r="I11" s="7"/>
      <c r="J11" s="7"/>
    </row>
    <row r="12" spans="1:10" ht="37.5" x14ac:dyDescent="0.25">
      <c r="A12" s="7"/>
      <c r="B12" s="9" t="s">
        <v>237</v>
      </c>
      <c r="C12" s="7"/>
      <c r="D12" s="7"/>
      <c r="E12" s="7"/>
      <c r="F12" s="7"/>
      <c r="G12" s="7"/>
      <c r="H12" s="7"/>
      <c r="I12" s="7"/>
      <c r="J12" s="7"/>
    </row>
    <row r="13" spans="1:10" x14ac:dyDescent="0.25">
      <c r="A13" s="7"/>
      <c r="B13" s="10" t="s">
        <v>1</v>
      </c>
      <c r="C13" s="10" t="s">
        <v>238</v>
      </c>
      <c r="D13" s="10" t="s">
        <v>239</v>
      </c>
      <c r="E13" s="7"/>
      <c r="F13" s="7"/>
      <c r="G13" s="7"/>
      <c r="H13" s="7"/>
      <c r="I13" s="7"/>
      <c r="J13" s="7"/>
    </row>
    <row r="14" spans="1:10" x14ac:dyDescent="0.25">
      <c r="A14" s="7"/>
      <c r="B14" s="7" t="s">
        <v>12</v>
      </c>
      <c r="C14" s="7">
        <f>COUNTIF('Roadmap QA Automation'!B:B,LEFT(B14,3)&amp;"*")</f>
        <v>4</v>
      </c>
      <c r="D14" s="11">
        <f>IFERROR(AVERAGEIF('Roadmap QA Automation'!B:B,LEFT(B14,3)&amp;"*",'Roadmap QA Automation'!I:I)/100,0)</f>
        <v>0.75</v>
      </c>
      <c r="E14" s="7"/>
      <c r="F14" s="7"/>
      <c r="G14" s="7"/>
      <c r="H14" s="7"/>
      <c r="I14" s="7"/>
      <c r="J14" s="7"/>
    </row>
    <row r="15" spans="1:10" ht="30" x14ac:dyDescent="0.25">
      <c r="A15" s="7"/>
      <c r="B15" s="7" t="s">
        <v>29</v>
      </c>
      <c r="C15" s="7">
        <f>COUNTIF('Roadmap QA Automation'!B:B,LEFT(B15,3)&amp;"*")</f>
        <v>10</v>
      </c>
      <c r="D15" s="11">
        <f>IFERROR(AVERAGEIF('Roadmap QA Automation'!B:B,LEFT(B15,3)&amp;"*",'Roadmap QA Automation'!I:I)/100,0)</f>
        <v>0</v>
      </c>
      <c r="E15" s="7"/>
      <c r="F15" s="7"/>
      <c r="G15" s="7"/>
      <c r="H15" s="7"/>
      <c r="I15" s="7"/>
      <c r="J15" s="7"/>
    </row>
    <row r="16" spans="1:10" x14ac:dyDescent="0.25">
      <c r="A16" s="7"/>
      <c r="B16" s="7" t="s">
        <v>55</v>
      </c>
      <c r="C16" s="7">
        <f>COUNTIF('Roadmap QA Automation'!B:B,LEFT(B16,3)&amp;"*")</f>
        <v>19</v>
      </c>
      <c r="D16" s="11">
        <f>IFERROR(AVERAGEIF('Roadmap QA Automation'!B:B,LEFT(B16,3)&amp;"*",'Roadmap QA Automation'!I:I)/100,0)</f>
        <v>0.60526315789473684</v>
      </c>
      <c r="E16" s="7"/>
      <c r="F16" s="7"/>
      <c r="G16" s="7"/>
      <c r="H16" s="7"/>
      <c r="I16" s="7"/>
      <c r="J16" s="7"/>
    </row>
    <row r="17" spans="1:10" x14ac:dyDescent="0.25">
      <c r="A17" s="7"/>
      <c r="B17" s="7" t="s">
        <v>107</v>
      </c>
      <c r="C17" s="7">
        <f>COUNTIF('Roadmap QA Automation'!B:B,LEFT(B17,3)&amp;"*")</f>
        <v>5</v>
      </c>
      <c r="D17" s="11">
        <f>IFERROR(AVERAGEIF('Roadmap QA Automation'!B:B,LEFT(B17,3)&amp;"*",'Roadmap QA Automation'!I:I)/100,0)</f>
        <v>0.4</v>
      </c>
      <c r="E17" s="7"/>
      <c r="F17" s="7"/>
      <c r="G17" s="7"/>
      <c r="H17" s="7"/>
      <c r="I17" s="7"/>
      <c r="J17" s="7"/>
    </row>
    <row r="18" spans="1:10" x14ac:dyDescent="0.25">
      <c r="A18" s="7"/>
      <c r="B18" s="7" t="s">
        <v>123</v>
      </c>
      <c r="C18" s="7">
        <f>COUNTIF('Roadmap QA Automation'!B:B,LEFT(B18,3)&amp;"*")</f>
        <v>5</v>
      </c>
      <c r="D18" s="11">
        <f>IFERROR(AVERAGEIF('Roadmap QA Automation'!B:B,LEFT(B18,3)&amp;"*",'Roadmap QA Automation'!I:I)/100,0)</f>
        <v>0.7</v>
      </c>
      <c r="E18" s="7"/>
      <c r="F18" s="7"/>
      <c r="G18" s="7"/>
      <c r="H18" s="7"/>
      <c r="I18" s="7"/>
      <c r="J18" s="7"/>
    </row>
    <row r="19" spans="1:10" x14ac:dyDescent="0.25">
      <c r="A19" s="7"/>
      <c r="B19" s="7" t="s">
        <v>135</v>
      </c>
      <c r="C19" s="7">
        <f>COUNTIF('Roadmap QA Automation'!B:B,LEFT(B19,3)&amp;"*")</f>
        <v>5</v>
      </c>
      <c r="D19" s="11">
        <f>IFERROR(AVERAGEIF('Roadmap QA Automation'!B:B,LEFT(B19,3)&amp;"*",'Roadmap QA Automation'!I:I)/100,0)</f>
        <v>1</v>
      </c>
      <c r="E19" s="7"/>
      <c r="F19" s="7"/>
      <c r="G19" s="7"/>
      <c r="H19" s="7"/>
      <c r="I19" s="7"/>
      <c r="J19" s="7"/>
    </row>
    <row r="20" spans="1:10" x14ac:dyDescent="0.25">
      <c r="A20" s="7"/>
      <c r="B20" s="7" t="s">
        <v>139</v>
      </c>
      <c r="C20" s="7">
        <f>COUNTIF('Roadmap QA Automation'!B:B,LEFT(B20,3)&amp;"*")</f>
        <v>7</v>
      </c>
      <c r="D20" s="11">
        <f>IFERROR(AVERAGEIF('Roadmap QA Automation'!B:B,LEFT(B20,3)&amp;"*",'Roadmap QA Automation'!I:I)/100,0)</f>
        <v>0.42857142857142855</v>
      </c>
      <c r="E20" s="7"/>
      <c r="F20" s="7"/>
      <c r="G20" s="7"/>
      <c r="H20" s="7"/>
      <c r="I20" s="7"/>
      <c r="J20" s="7"/>
    </row>
    <row r="21" spans="1:10" x14ac:dyDescent="0.25">
      <c r="A21" s="7"/>
      <c r="B21" s="7" t="s">
        <v>158</v>
      </c>
      <c r="C21" s="7">
        <f>COUNTIF('Roadmap QA Automation'!B:B,LEFT(B21,3)&amp;"*")</f>
        <v>5</v>
      </c>
      <c r="D21" s="11">
        <f>IFERROR(AVERAGEIF('Roadmap QA Automation'!B:B,LEFT(B21,3)&amp;"*",'Roadmap QA Automation'!I:I)/100,0)</f>
        <v>0</v>
      </c>
      <c r="E21" s="7"/>
      <c r="F21" s="7"/>
      <c r="G21" s="7"/>
      <c r="H21" s="7"/>
      <c r="I21" s="7"/>
      <c r="J21" s="7"/>
    </row>
    <row r="22" spans="1:10" x14ac:dyDescent="0.25">
      <c r="A22" s="7"/>
      <c r="B22" s="7" t="s">
        <v>174</v>
      </c>
      <c r="C22" s="7">
        <f>COUNTIF('Roadmap QA Automation'!B:B,LEFT(B22,3)&amp;"*")</f>
        <v>4</v>
      </c>
      <c r="D22" s="11">
        <f>IFERROR(AVERAGEIF('Roadmap QA Automation'!B:B,LEFT(B22,3)&amp;"*",'Roadmap QA Automation'!I:I)/100,0)</f>
        <v>6.25E-2</v>
      </c>
      <c r="E22" s="7"/>
      <c r="F22" s="7"/>
      <c r="G22" s="7"/>
      <c r="H22" s="7"/>
      <c r="I22" s="7"/>
      <c r="J22" s="7"/>
    </row>
    <row r="23" spans="1:10" x14ac:dyDescent="0.25">
      <c r="A23" s="7"/>
      <c r="B23" s="7" t="s">
        <v>187</v>
      </c>
      <c r="C23" s="7">
        <f>COUNTIF('Roadmap QA Automation'!B:B,LEFT(B23,3)&amp;"*")</f>
        <v>7</v>
      </c>
      <c r="D23" s="11">
        <f>IFERROR(AVERAGEIF('Roadmap QA Automation'!B:B,LEFT(B23,3)&amp;"*",'Roadmap QA Automation'!I:I)/100,0)</f>
        <v>0.17857142857142858</v>
      </c>
      <c r="E23" s="7"/>
      <c r="F23" s="7"/>
      <c r="G23" s="7"/>
      <c r="H23" s="7"/>
      <c r="I23" s="7"/>
      <c r="J23" s="7"/>
    </row>
    <row r="24" spans="1:10" x14ac:dyDescent="0.25">
      <c r="A24" s="7"/>
      <c r="B24" s="7" t="s">
        <v>206</v>
      </c>
      <c r="C24" s="7">
        <f>COUNTIF('Roadmap QA Automation'!B:B,LEFT(B24,3)&amp;"*")</f>
        <v>6</v>
      </c>
      <c r="D24" s="11">
        <f>IFERROR(AVERAGEIF('Roadmap QA Automation'!B:B,LEFT(B24,3)&amp;"*",'Roadmap QA Automation'!I:I)/100,0)</f>
        <v>0.66666666666666674</v>
      </c>
      <c r="E24" s="7"/>
      <c r="F24" s="7"/>
      <c r="G24" s="7"/>
      <c r="H24" s="7"/>
      <c r="I24" s="7"/>
      <c r="J24" s="7"/>
    </row>
    <row r="25" spans="1:10" x14ac:dyDescent="0.25">
      <c r="A25" s="7"/>
      <c r="B25" s="7" t="s">
        <v>218</v>
      </c>
      <c r="C25" s="7">
        <f>COUNTIF('Roadmap QA Automation'!B:B,LEFT(B25,3)&amp;"*")</f>
        <v>0</v>
      </c>
      <c r="D25" s="11">
        <f>IFERROR(AVERAGEIF('Roadmap QA Automation'!B:B,LEFT(B25,3)&amp;"*",'Roadmap QA Automation'!I:I)/100,0)</f>
        <v>0</v>
      </c>
      <c r="E25" s="7"/>
      <c r="F25" s="7"/>
      <c r="G25" s="7"/>
      <c r="H25" s="7"/>
      <c r="I25" s="7"/>
      <c r="J25" s="7"/>
    </row>
    <row r="26" spans="1:10" x14ac:dyDescent="0.25">
      <c r="A26" s="7"/>
      <c r="B26" s="7" t="s">
        <v>220</v>
      </c>
      <c r="C26" s="7">
        <f>COUNTIF('Roadmap QA Automation'!B:B,LEFT(B26,3)&amp;"*")</f>
        <v>4</v>
      </c>
      <c r="D26" s="11">
        <f>IFERROR(AVERAGEIF('Roadmap QA Automation'!B:B,LEFT(B26,3)&amp;"*",'Roadmap QA Automation'!I:I)/100,0)</f>
        <v>0</v>
      </c>
      <c r="E26" s="7"/>
      <c r="F26" s="7"/>
      <c r="G26" s="7"/>
      <c r="H26" s="7"/>
      <c r="I26" s="7"/>
      <c r="J26" s="7"/>
    </row>
    <row r="27" spans="1:10" x14ac:dyDescent="0.25">
      <c r="A27" s="7"/>
      <c r="B27" s="7" t="s">
        <v>366</v>
      </c>
      <c r="C27" s="7">
        <f>COUNTIF('Roadmap QA Automation'!B:B,LEFT(B27,3)&amp;"*")</f>
        <v>3</v>
      </c>
      <c r="D27" s="11">
        <f>IFERROR(AVERAGEIF('Roadmap QA Automation'!B:B,LEFT(B27,3)&amp;"*",'Roadmap QA Automation'!I:I)/100,0)</f>
        <v>0</v>
      </c>
      <c r="E27" s="7"/>
      <c r="F27" s="7"/>
      <c r="G27" s="7"/>
      <c r="H27" s="7"/>
      <c r="I27" s="7"/>
      <c r="J27" s="7"/>
    </row>
    <row r="28" spans="1:10" x14ac:dyDescent="0.25">
      <c r="A28" s="7"/>
      <c r="B28" s="7" t="s">
        <v>381</v>
      </c>
      <c r="C28" s="7">
        <f>COUNTIF('Roadmap QA Automation'!B:B,LEFT(B28,3)&amp;"*")</f>
        <v>2</v>
      </c>
      <c r="D28" s="11">
        <f>IFERROR(AVERAGEIF('Roadmap QA Automation'!B:B,LEFT(B28,3)&amp;"*",'Roadmap QA Automation'!I:I)/100,0)</f>
        <v>1</v>
      </c>
      <c r="E28" s="7"/>
      <c r="F28" s="7"/>
      <c r="G28" s="7"/>
      <c r="H28" s="7"/>
      <c r="I28" s="7"/>
      <c r="J28" s="7"/>
    </row>
    <row r="29" spans="1:10" x14ac:dyDescent="0.25">
      <c r="A29" s="7"/>
      <c r="B29" s="7" t="s">
        <v>398</v>
      </c>
      <c r="C29" s="7">
        <f>COUNTIF('Roadmap QA Automation'!B:B,LEFT(B29,3)&amp;"*")</f>
        <v>2</v>
      </c>
      <c r="D29" s="11">
        <f>IFERROR(AVERAGEIF('Roadmap QA Automation'!B:B,LEFT(B29,3)&amp;"*",'Roadmap QA Automation'!I:I)/100,0)</f>
        <v>0</v>
      </c>
      <c r="E29" s="7"/>
      <c r="F29" s="7"/>
      <c r="G29" s="7"/>
      <c r="H29" s="7"/>
      <c r="I29" s="7"/>
      <c r="J29" s="7"/>
    </row>
    <row r="30" spans="1:10" ht="37.5" x14ac:dyDescent="0.25">
      <c r="A30" s="7"/>
      <c r="B30" s="9" t="s">
        <v>240</v>
      </c>
      <c r="C30" s="7"/>
      <c r="D30" s="7"/>
      <c r="E30" s="7"/>
      <c r="F30" s="7"/>
      <c r="G30" s="7"/>
      <c r="H30" s="7"/>
      <c r="I30" s="7"/>
      <c r="J30" s="7"/>
    </row>
    <row r="31" spans="1:10" x14ac:dyDescent="0.25">
      <c r="A31" s="7"/>
      <c r="B31" s="10" t="s">
        <v>241</v>
      </c>
      <c r="C31" s="10" t="s">
        <v>242</v>
      </c>
      <c r="D31" s="7"/>
      <c r="E31" s="7"/>
      <c r="F31" s="7"/>
      <c r="G31" s="7"/>
      <c r="H31" s="7"/>
      <c r="I31" s="7"/>
      <c r="J31" s="7"/>
    </row>
    <row r="32" spans="1:10" x14ac:dyDescent="0.25">
      <c r="A32" s="7"/>
      <c r="B32" s="7" t="s">
        <v>243</v>
      </c>
      <c r="C32" s="7">
        <f>COUNTIF('Roadmap QA Automation'!I:I,0)</f>
        <v>48</v>
      </c>
      <c r="D32" s="7"/>
      <c r="E32" s="7"/>
      <c r="F32" s="7"/>
      <c r="G32" s="7"/>
      <c r="H32" s="7"/>
      <c r="I32" s="7"/>
      <c r="J32" s="7"/>
    </row>
    <row r="33" spans="1:10" x14ac:dyDescent="0.25">
      <c r="A33" s="7"/>
      <c r="B33" s="7" t="s">
        <v>244</v>
      </c>
      <c r="C33" s="7">
        <f>COUNTIF('Roadmap QA Automation'!I:I,25)</f>
        <v>3</v>
      </c>
      <c r="D33" s="7"/>
      <c r="E33" s="7"/>
      <c r="F33" s="7"/>
      <c r="G33" s="7"/>
      <c r="H33" s="7"/>
      <c r="I33" s="7"/>
      <c r="J33" s="7"/>
    </row>
    <row r="34" spans="1:10" x14ac:dyDescent="0.25">
      <c r="A34" s="7"/>
      <c r="B34" s="7" t="s">
        <v>245</v>
      </c>
      <c r="C34" s="7">
        <f>COUNTIF('Roadmap QA Automation'!I:I,50)</f>
        <v>4</v>
      </c>
      <c r="D34" s="7"/>
      <c r="E34" s="7"/>
      <c r="F34" s="7"/>
      <c r="G34" s="7"/>
      <c r="H34" s="7"/>
      <c r="I34" s="7"/>
      <c r="J34" s="7"/>
    </row>
    <row r="35" spans="1:10" x14ac:dyDescent="0.25">
      <c r="A35" s="7"/>
      <c r="B35" s="7" t="s">
        <v>246</v>
      </c>
      <c r="C35" s="7">
        <f>COUNTIF('Roadmap QA Automation'!I:I,75)</f>
        <v>1</v>
      </c>
      <c r="D35" s="7"/>
      <c r="E35" s="7"/>
      <c r="F35" s="7"/>
      <c r="G35" s="7"/>
      <c r="H35" s="7"/>
      <c r="I35" s="7"/>
      <c r="J35" s="7"/>
    </row>
    <row r="36" spans="1:10" x14ac:dyDescent="0.25">
      <c r="A36" s="7"/>
      <c r="B36" s="7" t="s">
        <v>247</v>
      </c>
      <c r="C36" s="7">
        <f>COUNTIF('Roadmap QA Automation'!I:I,100)</f>
        <v>32</v>
      </c>
      <c r="D36" s="7"/>
      <c r="E36" s="7"/>
      <c r="F36" s="7"/>
      <c r="G36" s="7"/>
      <c r="H36" s="7"/>
      <c r="I36" s="7"/>
      <c r="J36" s="7"/>
    </row>
    <row r="37" spans="1:10" x14ac:dyDescent="0.25">
      <c r="A37" s="7"/>
      <c r="B37" s="7"/>
      <c r="C37" s="7"/>
      <c r="D37" s="7"/>
      <c r="E37" s="7"/>
      <c r="F37" s="7"/>
      <c r="G37" s="7"/>
      <c r="H37" s="7"/>
      <c r="I37" s="7"/>
      <c r="J37" s="7"/>
    </row>
    <row r="38" spans="1:10" x14ac:dyDescent="0.25">
      <c r="A38" s="7"/>
      <c r="B38" s="7"/>
      <c r="C38" s="7"/>
      <c r="D38" s="7"/>
      <c r="E38" s="7"/>
      <c r="F38" s="7"/>
      <c r="G38" s="7"/>
      <c r="H38" s="7"/>
      <c r="I38" s="7"/>
      <c r="J38" s="7"/>
    </row>
    <row r="39" spans="1:10" x14ac:dyDescent="0.25">
      <c r="A39" s="7"/>
      <c r="B39" s="7"/>
      <c r="C39" s="7"/>
      <c r="D39" s="7"/>
      <c r="E39" s="7"/>
      <c r="F39" s="7"/>
      <c r="G39" s="7"/>
      <c r="H39" s="7"/>
      <c r="I39" s="7"/>
      <c r="J39" s="7"/>
    </row>
    <row r="40" spans="1:10" ht="37.5" x14ac:dyDescent="0.25">
      <c r="A40" s="7"/>
      <c r="B40" s="9" t="s">
        <v>248</v>
      </c>
      <c r="C40" s="7"/>
      <c r="D40" s="7"/>
      <c r="E40" s="7"/>
      <c r="F40" s="7"/>
      <c r="G40" s="7"/>
      <c r="H40" s="7"/>
      <c r="I40" s="7"/>
      <c r="J40" s="7"/>
    </row>
    <row r="41" spans="1:10" x14ac:dyDescent="0.25">
      <c r="A41" s="7"/>
      <c r="B41" s="10" t="s">
        <v>6</v>
      </c>
      <c r="C41" s="10" t="s">
        <v>238</v>
      </c>
      <c r="D41" s="10" t="s">
        <v>239</v>
      </c>
      <c r="E41" s="7"/>
      <c r="F41" s="7"/>
      <c r="G41" s="7"/>
      <c r="H41" s="7"/>
      <c r="I41" s="7"/>
      <c r="J41" s="7"/>
    </row>
    <row r="42" spans="1:10" x14ac:dyDescent="0.25">
      <c r="A42" s="7"/>
      <c r="B42" s="7" t="s">
        <v>16</v>
      </c>
      <c r="C42" s="7">
        <f>COUNTIF('Roadmap QA Automation'!G:G,B42)</f>
        <v>65</v>
      </c>
      <c r="D42" s="11">
        <f>IFERROR(AVERAGEIF('Roadmap QA Automation'!G:G,B42,'Roadmap QA Automation'!I:I)/100,0)</f>
        <v>0.39615384615384613</v>
      </c>
      <c r="E42" s="7"/>
      <c r="F42" s="7"/>
      <c r="G42" s="7"/>
      <c r="H42" s="7"/>
      <c r="I42" s="7"/>
      <c r="J42" s="7"/>
    </row>
    <row r="43" spans="1:10" x14ac:dyDescent="0.25">
      <c r="A43" s="7"/>
      <c r="B43" s="7" t="s">
        <v>53</v>
      </c>
      <c r="C43" s="7">
        <f>COUNTIF('Roadmap QA Automation'!G:G,B43)</f>
        <v>19</v>
      </c>
      <c r="D43" s="11">
        <f>IFERROR(AVERAGEIF('Roadmap QA Automation'!G:G,B43,'Roadmap QA Automation'!I:I)/100,0)</f>
        <v>0.46052631578947367</v>
      </c>
      <c r="E43" s="7"/>
      <c r="F43" s="7"/>
      <c r="G43" s="7"/>
      <c r="H43" s="7"/>
      <c r="I43" s="7"/>
      <c r="J43" s="7"/>
    </row>
    <row r="44" spans="1:10" x14ac:dyDescent="0.25">
      <c r="A44" s="7"/>
      <c r="B44" s="7" t="s">
        <v>133</v>
      </c>
      <c r="C44" s="7">
        <f>COUNTIF('Roadmap QA Automation'!G:G,B44)</f>
        <v>4</v>
      </c>
      <c r="D44" s="11">
        <f>IFERROR(AVERAGEIF('Roadmap QA Automation'!G:G,B44,'Roadmap QA Automation'!I:I)/100,0)</f>
        <v>0.25</v>
      </c>
      <c r="E44" s="7"/>
      <c r="F44" s="7"/>
      <c r="G44" s="7"/>
      <c r="H44" s="7"/>
      <c r="I44" s="7"/>
      <c r="J44" s="7"/>
    </row>
    <row r="45" spans="1:10" x14ac:dyDescent="0.25">
      <c r="A45" s="7"/>
      <c r="B45" s="7"/>
      <c r="C45" s="7"/>
      <c r="D45" s="7"/>
      <c r="E45" s="7"/>
      <c r="F45" s="7"/>
      <c r="G45" s="7"/>
      <c r="H45" s="7"/>
      <c r="I45" s="7"/>
      <c r="J45" s="7"/>
    </row>
    <row r="46" spans="1:10" x14ac:dyDescent="0.25">
      <c r="A46" s="7"/>
      <c r="B46" s="7"/>
      <c r="C46" s="7"/>
      <c r="D46" s="7"/>
      <c r="E46" s="7"/>
      <c r="F46" s="7"/>
      <c r="G46" s="7"/>
      <c r="H46" s="7"/>
      <c r="I46" s="7"/>
      <c r="J46" s="7"/>
    </row>
    <row r="47" spans="1:10" ht="37.5" x14ac:dyDescent="0.25">
      <c r="A47" s="7"/>
      <c r="B47" s="9" t="s">
        <v>249</v>
      </c>
      <c r="C47" s="7"/>
      <c r="D47" s="7"/>
      <c r="E47" s="7"/>
      <c r="F47" s="7"/>
      <c r="G47" s="7"/>
      <c r="H47" s="7"/>
      <c r="I47" s="7"/>
      <c r="J47" s="7"/>
    </row>
    <row r="48" spans="1:10" x14ac:dyDescent="0.25">
      <c r="A48" s="7"/>
      <c r="B48" s="10" t="s">
        <v>2</v>
      </c>
      <c r="C48" s="10" t="s">
        <v>238</v>
      </c>
      <c r="D48" s="10" t="s">
        <v>239</v>
      </c>
      <c r="E48" s="7"/>
      <c r="F48" s="7"/>
      <c r="G48" s="7"/>
      <c r="H48" s="7"/>
      <c r="I48" s="7"/>
      <c r="J48" s="7"/>
    </row>
    <row r="49" spans="1:10" x14ac:dyDescent="0.25">
      <c r="A49" s="7"/>
      <c r="B49" s="7" t="s">
        <v>13</v>
      </c>
      <c r="C49" s="7">
        <f>COUNTIF('Roadmap QA Automation'!C:C,B49)</f>
        <v>3</v>
      </c>
      <c r="D49" s="11">
        <f>IFERROR(AVERAGEIF('Roadmap QA Automation'!C:C,B49,'Roadmap QA Automation'!I:I)/100,0)</f>
        <v>0.16666666666666669</v>
      </c>
      <c r="E49" s="7"/>
      <c r="F49" s="7"/>
      <c r="G49" s="7"/>
      <c r="H49" s="7"/>
      <c r="I49" s="7"/>
      <c r="J49" s="7"/>
    </row>
    <row r="50" spans="1:10" x14ac:dyDescent="0.25">
      <c r="A50" s="7"/>
      <c r="B50" s="7" t="s">
        <v>18</v>
      </c>
      <c r="C50" s="7">
        <f>COUNTIF('Roadmap QA Automation'!C:C,B50)</f>
        <v>3</v>
      </c>
      <c r="D50" s="11">
        <f>IFERROR(AVERAGEIF('Roadmap QA Automation'!C:C,B50,'Roadmap QA Automation'!I:I)/100,0)</f>
        <v>0.16666666666666669</v>
      </c>
      <c r="E50" s="7"/>
      <c r="F50" s="7"/>
      <c r="G50" s="7"/>
      <c r="H50" s="7"/>
      <c r="I50" s="7"/>
      <c r="J50" s="7"/>
    </row>
    <row r="51" spans="1:10" x14ac:dyDescent="0.25">
      <c r="A51" s="7"/>
      <c r="B51" s="7" t="s">
        <v>21</v>
      </c>
      <c r="C51" s="7">
        <f>COUNTIF('Roadmap QA Automation'!C:C,B51)</f>
        <v>3</v>
      </c>
      <c r="D51" s="11">
        <f>IFERROR(AVERAGEIF('Roadmap QA Automation'!C:C,B51,'Roadmap QA Automation'!I:I)/100,0)</f>
        <v>0.33333333333333337</v>
      </c>
      <c r="E51" s="7"/>
      <c r="F51" s="7"/>
      <c r="G51" s="7"/>
      <c r="H51" s="7"/>
      <c r="I51" s="7"/>
      <c r="J51" s="7"/>
    </row>
    <row r="52" spans="1:10" x14ac:dyDescent="0.25">
      <c r="A52" s="7"/>
      <c r="B52" s="7" t="s">
        <v>25</v>
      </c>
      <c r="C52" s="7">
        <f>COUNTIF('Roadmap QA Automation'!C:C,B52)</f>
        <v>3</v>
      </c>
      <c r="D52" s="11">
        <f>IFERROR(AVERAGEIF('Roadmap QA Automation'!C:C,B52,'Roadmap QA Automation'!I:I)/100,0)</f>
        <v>0.33333333333333337</v>
      </c>
      <c r="E52" s="7"/>
      <c r="F52" s="7"/>
      <c r="G52" s="7"/>
      <c r="H52" s="7"/>
      <c r="I52" s="7"/>
      <c r="J52" s="7"/>
    </row>
    <row r="53" spans="1:10" x14ac:dyDescent="0.25">
      <c r="A53" s="7"/>
      <c r="B53" s="7" t="s">
        <v>45</v>
      </c>
      <c r="C53" s="7">
        <f>COUNTIF('Roadmap QA Automation'!C:C,B53)</f>
        <v>70</v>
      </c>
      <c r="D53" s="11">
        <f>IFERROR(AVERAGEIF('Roadmap QA Automation'!C:C,B53,'Roadmap QA Automation'!I:I)/100,0)</f>
        <v>0.40714285714285714</v>
      </c>
      <c r="E53" s="7"/>
      <c r="F53" s="7"/>
      <c r="G53" s="7"/>
      <c r="H53" s="7"/>
      <c r="I53" s="7"/>
      <c r="J53" s="7"/>
    </row>
  </sheetData>
  <mergeCells count="7">
    <mergeCell ref="B2:J3"/>
    <mergeCell ref="B7:C7"/>
    <mergeCell ref="E7:F7"/>
    <mergeCell ref="H7:I7"/>
    <mergeCell ref="H8:I8"/>
    <mergeCell ref="B8:C8"/>
    <mergeCell ref="E8:F8"/>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18"/>
  <sheetViews>
    <sheetView showGridLines="0" workbookViewId="0"/>
  </sheetViews>
  <sheetFormatPr baseColWidth="10" defaultColWidth="8.85546875" defaultRowHeight="15" x14ac:dyDescent="0.25"/>
  <cols>
    <col min="2" max="2" width="28" customWidth="1"/>
    <col min="3" max="3" width="90" customWidth="1"/>
  </cols>
  <sheetData>
    <row r="2" spans="2:3" ht="26.25" x14ac:dyDescent="0.4">
      <c r="B2" s="12" t="s">
        <v>250</v>
      </c>
    </row>
    <row r="4" spans="2:3" ht="30" x14ac:dyDescent="0.25">
      <c r="B4" s="13" t="s">
        <v>251</v>
      </c>
      <c r="C4" s="2" t="s">
        <v>252</v>
      </c>
    </row>
    <row r="5" spans="2:3" x14ac:dyDescent="0.25">
      <c r="B5" s="14"/>
      <c r="C5" s="2"/>
    </row>
    <row r="6" spans="2:3" x14ac:dyDescent="0.25">
      <c r="B6" s="13" t="s">
        <v>253</v>
      </c>
      <c r="C6" s="2"/>
    </row>
    <row r="7" spans="2:3" x14ac:dyDescent="0.25">
      <c r="B7" s="14" t="s">
        <v>243</v>
      </c>
      <c r="C7" s="2" t="s">
        <v>254</v>
      </c>
    </row>
    <row r="8" spans="2:3" x14ac:dyDescent="0.25">
      <c r="B8" s="14" t="s">
        <v>244</v>
      </c>
      <c r="C8" s="2" t="s">
        <v>255</v>
      </c>
    </row>
    <row r="9" spans="2:3" x14ac:dyDescent="0.25">
      <c r="B9" s="14" t="s">
        <v>245</v>
      </c>
      <c r="C9" s="2" t="s">
        <v>256</v>
      </c>
    </row>
    <row r="10" spans="2:3" x14ac:dyDescent="0.25">
      <c r="B10" s="14" t="s">
        <v>246</v>
      </c>
      <c r="C10" s="2" t="s">
        <v>257</v>
      </c>
    </row>
    <row r="11" spans="2:3" x14ac:dyDescent="0.25">
      <c r="B11" s="14" t="s">
        <v>247</v>
      </c>
      <c r="C11" s="2" t="s">
        <v>258</v>
      </c>
    </row>
    <row r="12" spans="2:3" x14ac:dyDescent="0.25">
      <c r="B12" s="14"/>
      <c r="C12" s="2"/>
    </row>
    <row r="13" spans="2:3" x14ac:dyDescent="0.25">
      <c r="B13" s="13" t="s">
        <v>6</v>
      </c>
      <c r="C13" s="2"/>
    </row>
    <row r="14" spans="2:3" x14ac:dyDescent="0.25">
      <c r="B14" s="14" t="s">
        <v>16</v>
      </c>
      <c r="C14" s="2" t="s">
        <v>259</v>
      </c>
    </row>
    <row r="15" spans="2:3" x14ac:dyDescent="0.25">
      <c r="B15" s="14" t="s">
        <v>53</v>
      </c>
      <c r="C15" s="2" t="s">
        <v>260</v>
      </c>
    </row>
    <row r="16" spans="2:3" x14ac:dyDescent="0.25">
      <c r="B16" s="14" t="s">
        <v>133</v>
      </c>
      <c r="C16" s="2" t="s">
        <v>261</v>
      </c>
    </row>
    <row r="17" spans="2:3" x14ac:dyDescent="0.25">
      <c r="B17" s="14"/>
      <c r="C17" s="2"/>
    </row>
    <row r="18" spans="2:3" ht="30" x14ac:dyDescent="0.25">
      <c r="B18" s="13" t="s">
        <v>262</v>
      </c>
      <c r="C18" s="2" t="s">
        <v>263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6ffd99d-26d2-4d99-98b0-05d0b9b7ac4e">
      <Terms xmlns="http://schemas.microsoft.com/office/infopath/2007/PartnerControls"/>
    </lcf76f155ced4ddcb4097134ff3c332f>
    <TaxCatchAll xmlns="823bb257-b027-4d06-8b2f-053335b328b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F842B2145328244B4B47741AC555AE2" ma:contentTypeVersion="11" ma:contentTypeDescription="Crear nuevo documento." ma:contentTypeScope="" ma:versionID="783508ae003506b91aa2be35b4ebc887">
  <xsd:schema xmlns:xsd="http://www.w3.org/2001/XMLSchema" xmlns:xs="http://www.w3.org/2001/XMLSchema" xmlns:p="http://schemas.microsoft.com/office/2006/metadata/properties" xmlns:ns2="96ffd99d-26d2-4d99-98b0-05d0b9b7ac4e" xmlns:ns3="823bb257-b027-4d06-8b2f-053335b328b1" targetNamespace="http://schemas.microsoft.com/office/2006/metadata/properties" ma:root="true" ma:fieldsID="4b965eb5b8ebcdb894d7355c785d1653" ns2:_="" ns3:_="">
    <xsd:import namespace="96ffd99d-26d2-4d99-98b0-05d0b9b7ac4e"/>
    <xsd:import namespace="823bb257-b027-4d06-8b2f-053335b328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ffd99d-26d2-4d99-98b0-05d0b9b7ac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40c8a86-21c0-42e0-9538-1e95a19895c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3bb257-b027-4d06-8b2f-053335b328b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65b88fc-85e5-4ddb-ab47-c2b550a44b02}" ma:internalName="TaxCatchAll" ma:showField="CatchAllData" ma:web="823bb257-b027-4d06-8b2f-053335b328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7876AB-BDAE-4A3D-A9BF-1638E774D861}">
  <ds:schemaRefs>
    <ds:schemaRef ds:uri="http://schemas.microsoft.com/office/2006/metadata/properties"/>
    <ds:schemaRef ds:uri="http://schemas.microsoft.com/office/infopath/2007/PartnerControls"/>
    <ds:schemaRef ds:uri="96ffd99d-26d2-4d99-98b0-05d0b9b7ac4e"/>
    <ds:schemaRef ds:uri="823bb257-b027-4d06-8b2f-053335b328b1"/>
  </ds:schemaRefs>
</ds:datastoreItem>
</file>

<file path=customXml/itemProps2.xml><?xml version="1.0" encoding="utf-8"?>
<ds:datastoreItem xmlns:ds="http://schemas.openxmlformats.org/officeDocument/2006/customXml" ds:itemID="{211C9EF2-99F3-47CC-A9EA-437B32406790}">
  <ds:schemaRefs>
    <ds:schemaRef ds:uri="http://schemas.microsoft.com/sharepoint/v3/contenttype/forms"/>
  </ds:schemaRefs>
</ds:datastoreItem>
</file>

<file path=customXml/itemProps3.xml><?xml version="1.0" encoding="utf-8"?>
<ds:datastoreItem xmlns:ds="http://schemas.openxmlformats.org/officeDocument/2006/customXml" ds:itemID="{1A512D99-C2FC-42B8-8FDB-89CED4284B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ffd99d-26d2-4d99-98b0-05d0b9b7ac4e"/>
    <ds:schemaRef ds:uri="823bb257-b027-4d06-8b2f-053335b328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Roadmap QA Automation</vt:lpstr>
      <vt:lpstr>Dashboard Ejecutivo</vt:lpstr>
      <vt:lpstr>Guía</vt:lpstr>
      <vt:lpstr>'Roadmap QA Automation'!Títulos_a_imprimir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2026-08-20T03:21:09Z</dcterms:created>
  <dcterms:modified xsi:type="dcterms:W3CDTF">2026-08-31T21:44:41Z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0x0101009F842B2145328244B4B47741AC555AE2</vt:lpwstr>
  </property>
</Properties>
</file>