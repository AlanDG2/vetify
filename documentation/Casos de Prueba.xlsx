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ike\vetify-automation\automation\documentation\"/>
    </mc:Choice>
  </mc:AlternateContent>
  <xr:revisionPtr revIDLastSave="0" documentId="13_ncr:1_{EA228187-C254-439A-A3A9-4C429D0BFE5A}" xr6:coauthVersionLast="47" xr6:coauthVersionMax="47" xr10:uidLastSave="{00000000-0000-0000-0000-000000000000}"/>
  <bookViews>
    <workbookView xWindow="780" yWindow="780" windowWidth="21600" windowHeight="12645" xr2:uid="{00000000-000D-0000-FFFF-FFFF00000000}"/>
  </bookViews>
  <sheets>
    <sheet name="Metricas de Casos de Prueba" sheetId="1" r:id="rId1"/>
    <sheet name="Flujo de Compra" sheetId="2" r:id="rId2"/>
    <sheet name="Gestión de Usuario" sheetId="3" r:id="rId3"/>
    <sheet name="Perfil" sheetId="4" r:id="rId4"/>
    <sheet name="Credenciales" sheetId="5" r:id="rId5"/>
    <sheet name="Videollamadas" sheetId="6" r:id="rId6"/>
    <sheet name="Reintegros" sheetId="7" r:id="rId7"/>
    <sheet name="Miscelánea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1" i="1" l="1"/>
  <c r="H71" i="1"/>
  <c r="C71" i="1"/>
  <c r="H64" i="1"/>
  <c r="C64" i="1"/>
  <c r="C5" i="1"/>
  <c r="K25" i="1"/>
  <c r="S25" i="1" s="1"/>
  <c r="C25" i="1"/>
  <c r="K5" i="1"/>
  <c r="M64" i="1" l="1"/>
  <c r="S5" i="1"/>
  <c r="C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H15" authorId="0" shapeId="0" xr:uid="{8431738E-3D33-430A-9229-DCCE7AF2AA6C}">
      <text>
        <r>
          <rPr>
            <b/>
            <sz val="9"/>
            <color indexed="81"/>
            <rFont val="Tahoma"/>
            <charset val="1"/>
          </rPr>
          <t>2026-08-18: test.describe.skip temporal en purchase-flow.spec.ts (Vetify B2C) -- conteo de planes inestable en corridas aisladas del pool nuevo de cuentas REGISTERED, sin confirmar si es asentamiento o BUG-013 real. Pendiente de revalidar 2026-08-19. Ver qa-workspace/decision-log.md.</t>
        </r>
      </text>
    </comment>
  </commentList>
</comments>
</file>

<file path=xl/sharedStrings.xml><?xml version="1.0" encoding="utf-8"?>
<sst xmlns="http://schemas.openxmlformats.org/spreadsheetml/2006/main" count="2272" uniqueCount="619">
  <si>
    <t>Total de Casos de Prueba</t>
  </si>
  <si>
    <t>Total Casos Automatizados</t>
  </si>
  <si>
    <t>Porcentaje Automatizado</t>
  </si>
  <si>
    <t>Casos de Prueba Críticos</t>
  </si>
  <si>
    <t>Test Críticos Automatizados</t>
  </si>
  <si>
    <t>Porcentaje de Casos Críticos</t>
  </si>
  <si>
    <t>Indice de Colores en Tabs</t>
  </si>
  <si>
    <t>Revisar / Actualizar</t>
  </si>
  <si>
    <t>Trabajo en progreso</t>
  </si>
  <si>
    <t>Listo para automatizar</t>
  </si>
  <si>
    <t>Solo casos críticos automatizados</t>
  </si>
  <si>
    <t>100% Automatizado</t>
  </si>
  <si>
    <t>ID</t>
  </si>
  <si>
    <t>Categoria</t>
  </si>
  <si>
    <t>Título</t>
  </si>
  <si>
    <t>Precondiciones</t>
  </si>
  <si>
    <t>Pasos</t>
  </si>
  <si>
    <t>Resultado Esperado</t>
  </si>
  <si>
    <t>Crítico?</t>
  </si>
  <si>
    <t>Automatizado?</t>
  </si>
  <si>
    <t>Adquirentes Vetify - B2C</t>
  </si>
  <si>
    <t>TC-01</t>
  </si>
  <si>
    <t>TS-01 Compra de Planes Exitosa</t>
  </si>
  <si>
    <t>Compra existosa - Plan individual - Sin Cupón - Tarjeta Débito</t>
  </si>
  <si>
    <t xml:space="preserve"> - Usuario selecciona un plan en la landing de Vetify</t>
  </si>
  <si>
    <t>1. Completar los datos obligatorios del paso 1
2. Navegar al paso 2
3. Completar los datos obligatorios del paso 2
4. Navegar al paso 3
5. Ingresar los datos de una tarjeta de débito válida, vigente y con saldo a favor en la cuenta
6. Presionar el botón "Finalizar"</t>
  </si>
  <si>
    <t xml:space="preserve"> - El pago es procesado correctamente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</si>
  <si>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Si</t>
  </si>
  <si>
    <t>No</t>
  </si>
  <si>
    <t>TC-02</t>
  </si>
  <si>
    <t>Compra existosa - Plan familiar - Sin Cupón - Tarjeta Débito</t>
  </si>
  <si>
    <t xml:space="preserve"> - Usuario selecciona un plan en la landing de Vetify
 - El usuario selecciona más de un plan para comprar</t>
  </si>
  <si>
    <t>TC-03</t>
  </si>
  <si>
    <t>Compra existosa - Plan individual - Con Cupón - Tarjeta Débito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</si>
  <si>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</si>
  <si>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débito válida, vigente y con saldo a favor en la cuenta
7. Presionar el botón "Finalizar"</t>
  </si>
  <si>
    <t xml:space="preserve"> - El pago es procesado correctamente aplicado correctaente el porcentage de descuento correspondiente al cupón seleccionado
 -  El sistema redirecciona hacia la página de checkout exitoso mostrando confirmación de la compra mostrando los datos ingresados y el plan seleccionado
 - En Salesforce se registra un lead asociado como "Close Won"
 - En el sistema se registra una activación de una poliza para el DNI ingresado
 - El usuario recibe un email de confirmación de la compra</t>
  </si>
  <si>
    <t>TC-04</t>
  </si>
  <si>
    <t>Compra existosa - Plan familiar - Con Cupón - Tarjeta Débito</t>
  </si>
  <si>
    <t xml:space="preserve"> - Usuario selecciona un plan en la landing de Vetify
 - El usuario selecciona más de un plan para comprar
 - El usuario cuenta con un cupón válido</t>
  </si>
  <si>
    <t>TC-05</t>
  </si>
  <si>
    <t>Compra existosa - Plan individual - Sin Cupón - Tarjeta Crédito</t>
  </si>
  <si>
    <t>1. Completar los datos obligatorios del paso 1
2. Navegar al paso 2
3. Completar los datos obligatorios del paso 2
4. Navegar al paso 3
5. Ingresar los datos de una tarjeta de crédito válida y vigente
6. Presionar el botón "Finalizar"</t>
  </si>
  <si>
    <t>TC-06</t>
  </si>
  <si>
    <t>Compra existosa - Plan familiar - Sin Cupón - Tarjeta Crédito</t>
  </si>
  <si>
    <t>TC-07</t>
  </si>
  <si>
    <t>Compra existosa - Plan individual - Con Cupón - Tarjeta Crédito</t>
  </si>
  <si>
    <t xml:space="preserve"> - Usuario selecciona un plan en la landing de Vetify
 - El usuario cuenta con un cupón válido</t>
  </si>
  <si>
    <t>1. Completar los datos obligatorios del paso 1
2. Navegar al paso 2
3. Completar los datos obligatorios del paso 2
4. Navegar al paso 3
5. Ingresar un cupón válido
6. Ingresar los datos de una tarjeta de crédito válida y vigente
7. Presionar el botón "Finalizar"</t>
  </si>
  <si>
    <t>TC-08</t>
  </si>
  <si>
    <t>Compra existosa - Plan familiar - Con Cupón - Tarjeta Crédito</t>
  </si>
  <si>
    <t>TS-02 Compra de Planes Fallida</t>
  </si>
  <si>
    <t>Compra fallida - Tarjeta Prepaga</t>
  </si>
  <si>
    <t>1. Completar los datos obligatorios del paso 1
2. Navegar al paso 2
3. Completar los datos obligatorios del paso 2
4. Navegar al paso 3
5. Ingresar los datos de una tarjeta prepaga válida, vigente y con saldo a favor
6. Presionar el botón "Finalizar"</t>
  </si>
  <si>
    <t xml:space="preserve"> - El sistema no procesa el pago
 - El sistema muestra un mensaje de error indicando que las tarjetas prepagas no son aceptadas en el sistema</t>
  </si>
  <si>
    <t>Compra fallida - Problema tarjeta</t>
  </si>
  <si>
    <t>1. Completar los datos obligatorios del paso 1
2. Navegar al paso 2
3. Completar los datos obligatorios del paso 2
4. Navegar al paso 3
5. Ingresar los datos de una tarjeta de débito o crédito que no sea válida (expirada/sin fondos/o rechaze el banco)
6. Presionar el botón "Finalizar"</t>
  </si>
  <si>
    <t xml:space="preserve"> - El sistema no procesa el pago
 - El sistema muestra un mensaje de error indicando  que hubo un problema al procesar la compra</t>
  </si>
  <si>
    <t>TS-03 Asociación de Compra con Usuario</t>
  </si>
  <si>
    <t>DNI ya esta registrado - Email no registrado</t>
  </si>
  <si>
    <t>1. Completar los datos obligatorios del paso 1
2. Ingresar un DNI de un usuario ya registrado
3. Ingresar el email que no esté asociado a ningún usuario
4. Navegar al paso 2
5. Completar los datos obligatorios del paso 2
6. Navegar al paso 3
7. Ingresar los datos de una tarjeta de crédito/débito válida y vigente
8. Presionar el botón "Finalizar"</t>
  </si>
  <si>
    <t xml:space="preserve"> - El sistema asocia el plan seleccionado al usuario cuyo identificación corresponde al dato ingresado</t>
  </si>
  <si>
    <t>DNI no registrado - Email registrado</t>
  </si>
  <si>
    <t xml:space="preserve"> - Usuario selecciona un plan en la landing de Vetify
 - Existe al menos un usuario registrado en la base de datos</t>
  </si>
  <si>
    <t>1. Completar los datos obligatorios del paso 1
2. Ingresar un DNI que no se encuentre registrado
3. Ingresar el email de un usuario ya registrado en el sistema
4. Navegar al paso 2
5. Completar los datos obligatorios del paso 2
6. Navegar al paso 3
7. Ingresar los datos de una tarjeta de crédito/débito válida y vigente
8. Presionar el botón "Finalizar"</t>
  </si>
  <si>
    <t xml:space="preserve"> - La compra no queda asociada al usuario del email ingresado. 
 - La compra queda en la espera de ser asociado a un nuevo usuario que se registre con la identificación seleccionada en el paso 1</t>
  </si>
  <si>
    <t>DNI y Emails estan relaciondos a usuarios distintos</t>
  </si>
  <si>
    <t xml:space="preserve"> - Usuario selecciona un plan en la landing de Vetify
 - Existen al menos dos usuarios registrados en la base de datos</t>
  </si>
  <si>
    <t>1. Completar los datos obligatorios del paso 1
2. Ingresar un DNI de un usuario ya registrado
3. Ingresar el email de un usuario ya registrado en el sistema
4. Navegar al paso 2
5. Completar los datos obligatorios del paso 2
6. Navegar al paso 3
7. Ingresar los datos de una tarjeta de crédito/débito válida y vigente
8. Presionar el botón "Finalizar"</t>
  </si>
  <si>
    <t>TS-04 Cupones</t>
  </si>
  <si>
    <t>Aplicar cupón no existente</t>
  </si>
  <si>
    <t>1. Ingresar un cupón no válido</t>
  </si>
  <si>
    <t xml:space="preserve"> - El sistema muestra un mensaje de error indicando que el cupón ingresado no es válido
 - El valor de compra no es modificado
 - El usuario puede agregar otro cupón si lo desea</t>
  </si>
  <si>
    <t>Aplicar un cupón válido</t>
  </si>
  <si>
    <t xml:space="preserve"> - Usuario selecciona un plan en la landing de Vetify
 - El usuario cuenta con al menos un cupón válido</t>
  </si>
  <si>
    <t>1. El usuario ingresa un cupón válido</t>
  </si>
  <si>
    <t xml:space="preserve"> - El sistema acepta correctamente el cupón ingresado
 - El subtotal no es modificado
 - El total refleja el porcentaje del cupón aplicado (total = subtotal * % de descuento)
 - El sistema muestra el monto total de descuento aplicado por el cupón
 - El sistema no permite asociar otro cupón</t>
  </si>
  <si>
    <t>Eliminar el cupón agregado</t>
  </si>
  <si>
    <t>1. El usuario ingresa un cupón válido
2. El usuario elimina el cupón ingresado</t>
  </si>
  <si>
    <t xml:space="preserve"> - El sistema elimina correctamente el cupón del formulario
 - El monto total ahorrado por el cupón desaparece
 - El monto total de la compra refleja el monto del subtotal (precio del plan x cantidad de planes ( - descuento por plan familiar)</t>
  </si>
  <si>
    <t>Cambiar el cupón agregado</t>
  </si>
  <si>
    <t>1. El usuario ingresa un cupón válido
2. El usuario elimina el cupón ingresado
3. El usuario ingresa otro cupón válido</t>
  </si>
  <si>
    <t>Agregar cupón en paso 1</t>
  </si>
  <si>
    <t xml:space="preserve"> - Usuario selecciona un plan en la landing de Vetify
 - El usuario cuenta con al menos un cupón válido
 - El usuario se encuentra en el primer paso del formulario de adquisición</t>
  </si>
  <si>
    <t>1. El usuario ingresa un cupón válido
2. El usuario navega al paso 2
3. El usuario navega al paso 3</t>
  </si>
  <si>
    <t xml:space="preserve"> - El sistema permite ingresar el cupón
 - El cupón ingresado es recordado durante todos los pasos
 - El monto de descuento se mantiene hasta finalizar la compra</t>
  </si>
  <si>
    <t>Agregar cupón en paso 2</t>
  </si>
  <si>
    <t>1. El usuario navega al paso 2
2. El usuario ingresa un cupón válido
3. El usuario navega al paso 3</t>
  </si>
  <si>
    <t>Agregar cupón en paso 3</t>
  </si>
  <si>
    <t>1. El usuario navega al paso 2
2. El usuario navega al paso 3
3. El usuario ingresa un cupón válido</t>
  </si>
  <si>
    <t>TS-05 Formulario - Paso 1</t>
  </si>
  <si>
    <t>Listado de tipos de documentos</t>
  </si>
  <si>
    <t xml:space="preserve"> - Usuario selecciona un plan en la landing de Vetify
 - El usuario se encuentra en el primer paso del formulario de adquisición</t>
  </si>
  <si>
    <t>1. Navegar el primer paso del formulario de adquisición de planes«
2. Desplegar el listado de tipos de documentos</t>
  </si>
  <si>
    <t xml:space="preserve"> - El listadoa de tipos de documentos aceptdos son: 
    - DNI
    - Libreta cívica
    - Libreta de enrolamiento
    - Cédula de Identidad
    - Otro</t>
  </si>
  <si>
    <t>Campos obligatorios</t>
  </si>
  <si>
    <t>1. Navegar el primer paso del formulario de adquisición de planes
2. Presionar el botón "Continuar"</t>
  </si>
  <si>
    <t xml:space="preserve"> El sistema muestra un mensaje de error indicando que los siguientes datos son obligatorios:
 - Nombre
 - Apellido
 - Email
 - Teléfono
 - Tipo de documento
 - Número de documento</t>
  </si>
  <si>
    <t>Navegar al Paso 2</t>
  </si>
  <si>
    <t>1. Navegar el segundo paso del formulario de adquisición de planes
2. Completar los campos obligatorios (Nombre, Appellido, Email, Teléfono, Tipo de documento, Número de documento)
3. Presionar el botón "Continuar"</t>
  </si>
  <si>
    <t xml:space="preserve"> - El sistema almacena temporalmente los datos ingresados
 - El sistema redirecciona correctamente al usuario al paso 2 del formulario de compra</t>
  </si>
  <si>
    <t>Regresar a la landing</t>
  </si>
  <si>
    <t>1. Navegar el primer paso del formulario de adquisición de planes
2. Presionar el botón "Regresar"</t>
  </si>
  <si>
    <t>El sistema sale correctamente del fomulario de compra y redirecciona a la web institucional</t>
  </si>
  <si>
    <t>TS-06 Formulario - Paso 2</t>
  </si>
  <si>
    <t>Listado de Provincias</t>
  </si>
  <si>
    <t xml:space="preserve"> - Usuario selecciona un plan en la landing de Vetify
 - El usuario se encuentra en el segundo paso del formulario de adquisición</t>
  </si>
  <si>
    <t>1. Navegar el segundo paso del formulario de adquisición de planes
2. Desplegar el listado de provincias</t>
  </si>
  <si>
    <t>El sistema lista correctamente todas las provincias correspondientes a la República Argentina exclusivamente</t>
  </si>
  <si>
    <t>Listado de Localidaddes</t>
  </si>
  <si>
    <t>1. Navegar el segundo paso del formulario de adquisición de planes
2. Seleccionar una provincia
3. Desplegar el listado de Localidades</t>
  </si>
  <si>
    <t>El sistema lista correctamente todas las localidades correspondientes a la provincia seleccionada</t>
  </si>
  <si>
    <t>1. Navegar el segundo paso del formulario de adquisición de planes
2. Presionar el botón "Continuar"</t>
  </si>
  <si>
    <t xml:space="preserve"> El sistema muestra un mensaje de error indicando que los siguientes datos son obligatorios:
 - Provincia
 - Localidad
 - Calle y número
 - Código postal</t>
  </si>
  <si>
    <t>Volver al paso 1</t>
  </si>
  <si>
    <t>1. Navegar el segundo paso del formulario de adquisición de planes
2. Presionar el botón "Regresar"</t>
  </si>
  <si>
    <t>El sistema redirecciona correctamente al primer paso del flujo de compra</t>
  </si>
  <si>
    <t>Navegar al Paso 3</t>
  </si>
  <si>
    <t>1. Navegar el segundo paso del formulario de adquisición de planes
2. Completar los campos obligatorios (Provincia, Localidad, Calle y Número, Código Postal)
3. Presionar el botón "Continuar"</t>
  </si>
  <si>
    <t xml:space="preserve"> - El sistema almacena temporalmente los datos ingresados
 - El sistema redirecciona correctamente al usuario al paso 3 del formulario de compra</t>
  </si>
  <si>
    <t>TS-07 Formulario - Paso 3</t>
  </si>
  <si>
    <t xml:space="preserve"> - Usuario selecciona un plan en la landing de Vetify
 - El usuario se encuentra en el tercer paso del formulario de adquisición</t>
  </si>
  <si>
    <t>1. Navegar el tercer paso del formulario de adquisición de planes
2. Presionar el botón "Continuar"</t>
  </si>
  <si>
    <t xml:space="preserve"> El sistema muestra un mensaje de error indicando que los siguientes datos son obligatorios:
 - Número de tarjeta
 - Nombre
 - CVV
 - Vencimiento</t>
  </si>
  <si>
    <t>Volver al paso 2</t>
  </si>
  <si>
    <t>1. Navegar el tercer paso del formulario de adquisición de planes
2. Presionar el botón "Regresar"</t>
  </si>
  <si>
    <t>El sistema redirecciona correctamente al segundo paso del flujo de compra</t>
  </si>
  <si>
    <t>Adquirente OSDE</t>
  </si>
  <si>
    <t xml:space="preserve"> - Usuario selecciona un plan en la landing de adquirente OSDE</t>
  </si>
  <si>
    <t xml:space="preserve"> - Usuario selecciona un plan en la landing de adquirente OSDE
 - El usuario selecciona más de un plan para comprar</t>
  </si>
  <si>
    <t xml:space="preserve">  - Usuario selecciona un plan en la landing de adquirente OSDE
 - El usuario cuenta con un cupón válido</t>
  </si>
  <si>
    <t xml:space="preserve"> - Usuario selecciona un plan en la landing de adquirente OSDE
 - El usuario selecciona más de un plan para comprar
 - El usuario cuenta con un cupón válido</t>
  </si>
  <si>
    <t xml:space="preserve"> - Usuario selecciona un plan en la landing de adquirente OSDE
 - El usuario cuenta con un cupón válido</t>
  </si>
  <si>
    <t xml:space="preserve"> - Usuario selecciona un plan en la landing de adquirente OSDE
 - Existe al menos un usuario registrado en la base de datos</t>
  </si>
  <si>
    <t xml:space="preserve"> - Usuario selecciona un plan en la landing de adquirente OSDE
 - Existen al menos dos usuarios registrados en la base de datos</t>
  </si>
  <si>
    <t xml:space="preserve"> - Usuario selecciona un plan en la landing de adquirente OSDE
 - El usuario cuenta con al menos un cupón válido</t>
  </si>
  <si>
    <t xml:space="preserve"> - Usuario selecciona un plan en la landing de adquirente OSDE
 - El usuario cuenta con al menos un cupón válido
 - El usuario se encuentra en el primer paso del formulario de adquisición</t>
  </si>
  <si>
    <t xml:space="preserve"> - Usuario selecciona un plan en la landing de adquirente OSDE
 - El usuario se encuentra en el primer paso del formulario de adquisición</t>
  </si>
  <si>
    <t xml:space="preserve"> - Usuario selecciona un plan en la landing de adquirente OSDE
 - El usuario se encuentra en el segundo paso del formulario de adquisición</t>
  </si>
  <si>
    <t xml:space="preserve"> - Usuario selecciona un plan en la landing de adquirente OSDE
 - El usuario se encuentra en el tercer paso del formulario de adquisición</t>
  </si>
  <si>
    <t>Capitado OSDE</t>
  </si>
  <si>
    <t>TS-01 Proceso de Compra</t>
  </si>
  <si>
    <t>Canje de cupon exitoso</t>
  </si>
  <si>
    <t xml:space="preserve"> - Existe al menos un cupón sin uso para ser cangeado</t>
  </si>
  <si>
    <t>1. Cargar la landing Page
2. Cargar todos los datos
3. Ingresar un cupón válido que no haya sido utilizado antes
4. Presionar el botón "ACTIVA SU PLAN"</t>
  </si>
  <si>
    <t xml:space="preserve"> - El sistema realiza la activación de un plan correctamente asociado al DNI ingresado
 - El cupón es marcado como ya utilizado en la base de datos</t>
  </si>
  <si>
    <t>Canje de cupon no válido</t>
  </si>
  <si>
    <t>1. Cargar la landing Page
2. Cargar todos los datos
3. Ingresar un cupón no válido
4. Presionar el botón "ACTIVA SU PLAN"</t>
  </si>
  <si>
    <t>El sistema debe mostrar un mensaje de error indicando que el cupón ingresado no es válido.</t>
  </si>
  <si>
    <t>Canje de cupon ya usado</t>
  </si>
  <si>
    <t xml:space="preserve"> - Existe al menos un usuario capitado OSDE en el sistema</t>
  </si>
  <si>
    <t>1. Cargar la landing Page
2. Cargar todos los datos
3. Ingresar un cupón ya usado por otro usuario
4. Presionar el botón "ACTIVA SU PLAN"</t>
  </si>
  <si>
    <t>El sistema muestra un mensaje de error indicando que el cupón no es válido o que ya ha sido utilizado</t>
  </si>
  <si>
    <t>TS-02 Validación de formulario</t>
  </si>
  <si>
    <t>1. Cargar la landing Page
2. Presionar el botón "ACTIVA SU PLAN"</t>
  </si>
  <si>
    <t>El sistema muestra como obligatorio los siguientes campos:
 - Nombre
 - Apellido
 - Tipo de documento
 - Número de documento
 - Código de área
 - Teléfono
 - Email
 - Cupón</t>
  </si>
  <si>
    <t>Tipos de documentos</t>
  </si>
  <si>
    <t>1. Cargar la landing Page
2. Desplegar el listado de tipos de documentos</t>
  </si>
  <si>
    <t>El listado de tipos de documentos incluye:
 - Libreta Cívica
 - Libreta Enrolamiento
 - Pasaporte
 - DNI Extranjero
 - CUIT
 - CUIL
 - Cédula Identidad
 - Documento Único
 - No Determinado</t>
  </si>
  <si>
    <t>Capitado FLUX</t>
  </si>
  <si>
    <t xml:space="preserve"> - Existe al menos un usuario capitado FLUX en el sistema</t>
  </si>
  <si>
    <t>CP-01</t>
  </si>
  <si>
    <t>TS-01 Registración</t>
  </si>
  <si>
    <t>Email ya existente</t>
  </si>
  <si>
    <t xml:space="preserve"> - Existe al menos un usuario registrado en el sistema</t>
  </si>
  <si>
    <t>1. Abrir la página de registración de la WebApp
2. Ingresar un email de un usuario ya existente
3. Ingresar una contraseña en formato correcto
4. Presionar el botón "Crear cuenta"</t>
  </si>
  <si>
    <t xml:space="preserve"> - El sistema no realiza la registración del usuario
 - El Sistema muestra un mensaje de error indicando que ya existe un usuario con el correo ingresado</t>
  </si>
  <si>
    <t>CP-02</t>
  </si>
  <si>
    <t>Contraseña débil</t>
  </si>
  <si>
    <t>1. Abrir la página de registración de la WebApp
2. Ingresar un email que no esté asociado a ningún usuario registrado en el sistema
3. Ingresar una contraseña de menos de 8 caracteres, sin números ni caracteres especiales
4. Presionar el botón "Crear cuenta"</t>
  </si>
  <si>
    <t xml:space="preserve"> - El sistema no realiza la registración del usuario
 - El Sistema muestra un mensaje de error indicando que la contraseña es débil, además de indicar que es necesario para incrementar su fortaleza</t>
  </si>
  <si>
    <t>CP-03</t>
  </si>
  <si>
    <t>Casos de Error - Sistema caido</t>
  </si>
  <si>
    <t xml:space="preserve"> - El sistema no procesa correctamente las registraciones</t>
  </si>
  <si>
    <t>1. Abrir la página de registración de la WebApp
2. Ingresar un email que no esté asociado a ningún usuario registrado en el sistema
3. Ingresar una contraseña en formato correcto
4. Presionar el botón "Crear cuenta"</t>
  </si>
  <si>
    <t xml:space="preserve"> - El sistema no realiza la registración del usuario
 - El Sistema muestra un mensaje de error indicando que ha ocurrido un error al registrar al usuario</t>
  </si>
  <si>
    <t>CP-04</t>
  </si>
  <si>
    <t>Registración exitosa</t>
  </si>
  <si>
    <t xml:space="preserve"> - El sistema da de alta al usuario correctamente</t>
  </si>
  <si>
    <t>CP-05</t>
  </si>
  <si>
    <t>1. Abrir la página de registración de la WebApp
2. Presionar el botón "Crear cuenta"</t>
  </si>
  <si>
    <t>El sistema muestra un mensaje de error indicando que los siguiente campos son obligatorios:
 - Email
 - Contraseña</t>
  </si>
  <si>
    <t>TS-02 Iniciar Sesión</t>
  </si>
  <si>
    <t>Email existente - Contraseña Incorrecta</t>
  </si>
  <si>
    <t>1. Abrir la página de inicio de sesión de la WebApp
2. Ingresar el email de un usuario registrado
3. Ingresar una contraseña que no corresponda al usuario seleccionado en el paso 2
4. Presionar el botón "Iniciar Sesión"</t>
  </si>
  <si>
    <t>El sistema muestra un mensaje de error indicando que el email o la contraseña son incorrectos</t>
  </si>
  <si>
    <t>Email no existente</t>
  </si>
  <si>
    <t>1. Abrir la página de inicio de sesión de la WebApp
2. Ingresar el email que no corresponda a ningún usuario registrado
3. Ingresar una contraseña
4. Presionar el botón "Iniciar Sesión"</t>
  </si>
  <si>
    <t>Email y contraseña correcta</t>
  </si>
  <si>
    <t>1. Abrir la página de inicio de sesión de la WebApp
2. Ingresar el email de un usuario registrado
3. Ingresar la contraseña del usuario seleccionado en el paso 2
4. Presionar el botón "Iniciar Sesión"</t>
  </si>
  <si>
    <t>El usuario inicia sesión correctamente en la WebApp</t>
  </si>
  <si>
    <t>1. Abrir la página de inicio de sesión de la WebApp
2. Presionar el botón "Iniciar Sesión"</t>
  </si>
  <si>
    <t>TS-03 Activación de Cuenta</t>
  </si>
  <si>
    <t xml:space="preserve"> - Existe al menos un usuario registrado en el sistema con al menos un plan adquirido</t>
  </si>
  <si>
    <t>1. El usuario se encuentra en la pantalla de activación de cuenta
2. Presionar el botón de "Verificar cobertura"</t>
  </si>
  <si>
    <t>El sistema muestra un mensaje de error indicando que los siguiente campos son obligatorios:
 - Nombre
 - Apellido
 - Tipo de Documento
 - Número de Documento</t>
  </si>
  <si>
    <t>1. El usuario se encuentra en la pantalla de activación de cuenta
2. Desplegar el listado de tipos de documentos</t>
  </si>
  <si>
    <t>El sistema muestra los siguientes tipos de documentos:
 - Cédula
 - DNI
 - Libreta de Enrrolamiento
 - Libreta Cívica
 - Otro</t>
  </si>
  <si>
    <t>Documento no existente</t>
  </si>
  <si>
    <t>1. El usuario se encuentra en la pantalla de activación de cuenta
2. Ingresar un nombre
3. Ingresar un apellido
4. Seleccionar un tipo de documento
5. Ingresar un número de documento que no esté asociado a ningún plan
6. Presionar el botón de "Verificar cobertura"</t>
  </si>
  <si>
    <t>El sistema muestra un mensaje de error indicando que el usuario todavía no cuenta con cobertura</t>
  </si>
  <si>
    <t>Documento ya registrado</t>
  </si>
  <si>
    <t xml:space="preserve"> - Existe al menos un usuario registrado en el sistema con al menos un plan adquirido
 - Existe al menos un usuario con una cuenta ya activada</t>
  </si>
  <si>
    <t>1. El usuario se encuentra en la pantalla de activación de cuenta
2. Ingresar un nombre
3. Ingresar un apellido
4. Seleccionar un tipo de documento
5. Ingresar un número de documento de un usuario ya registrado con cuenta activada
6. Presionar el botón de "Verificar cobertura"</t>
  </si>
  <si>
    <t>El sistema muestra un mensaje de error indicando que el usuario ya se encuentra registrado</t>
  </si>
  <si>
    <t>Activación de cuenta exitosa</t>
  </si>
  <si>
    <t>1. El usuario se encuentra en la pantalla de activación de cuenta
2. Ingresar un nombre
3. Ingresar un apellido
4. Seleccionar un tipo de documento
5. Ingresar un número de documento de un usuario ya registrado pero sin cuenta activa
6. Presionar el botón de "Verificar cobertura"</t>
  </si>
  <si>
    <t xml:space="preserve"> - El sistema asocia correctamente la poliza al usuario creado
 - El sistema redirecciona a la home de Vetify</t>
  </si>
  <si>
    <t>TS-05 Cambio de Contraseña</t>
  </si>
  <si>
    <t>Abrir link del email</t>
  </si>
  <si>
    <t>Contraseñas no coinciden</t>
  </si>
  <si>
    <t>Contraseña obligatoria</t>
  </si>
  <si>
    <t>Cambio existoso</t>
  </si>
  <si>
    <t>Adquirentes OSDE</t>
  </si>
  <si>
    <t>Critico?</t>
  </si>
  <si>
    <t>Adquirientes</t>
  </si>
  <si>
    <t>Perfil</t>
  </si>
  <si>
    <t>Credencial - Vetify - Visualización del perfil</t>
  </si>
  <si>
    <t xml:space="preserve"> - Usuario registrado con un plan vigente</t>
  </si>
  <si>
    <t>1. Iniciar sesión con un usuario con un plan vigente
2. Navegar al perfil del usuario</t>
  </si>
  <si>
    <t>El perfil del usuario se carga correctamente mostrando los siguientes datos:
 - Foto
 - Nombre completo
 - Número de identificación
 - Nombre 
 - Apellido
 - Tipo/Numero de identificación
 - Número de teléfono</t>
  </si>
  <si>
    <t>Credencial - Vetify - Cambiar imagen de perfil [Bug conocido: backend no valida formato, ver test TC-03]</t>
  </si>
  <si>
    <t>1. Iniciar sesión con un usuario con un plan vigente
2. Navegar al perfil del usuario
3. Presionar la imágen de avatar del usuario</t>
  </si>
  <si>
    <t>El sistema solo permite la selección de imágenes (png, jpg, jpeg, webp)</t>
  </si>
  <si>
    <t>1. Seleccionar una foto</t>
  </si>
  <si>
    <t xml:space="preserve"> - El sistema actualiza correctamente la foto de perfil del usuario</t>
  </si>
  <si>
    <t>Credencial - Vetify - Actualizar datos personales (sólo teléfono es editable; nombre/apellido/DNI requieren llamar al 0800 122 1183)</t>
  </si>
  <si>
    <t>1. Cambiar los datos del perfil del usuario</t>
  </si>
  <si>
    <t>El sistema actualiza correctamente los datos del perfil del usuario</t>
  </si>
  <si>
    <t>Credencial - Vetify - Cambiar DNI - Nuevo DNI ya registrado con otro usuario</t>
  </si>
  <si>
    <t>DBD</t>
  </si>
  <si>
    <t>Credencial - Vetify - Cambiar DNI - Nuevo DNI sin utilizar en el sistema</t>
  </si>
  <si>
    <t>Credencial - Vetify - Cambiar DNI - Nueva compra con el DNI viejo</t>
  </si>
  <si>
    <t>1. Iniciar sesión con un usuario con un plan vigente
2. Navegar al perfil del usuario
3. Cambiar el número de DNI
4. Presionar el botón "Guardar cambios"
5. Ingresar a la web institucional
6. Realizar un flujo de compra con el DNI anterior</t>
  </si>
  <si>
    <t xml:space="preserve"> - La compra es realizada exitosamente
 - El nuevo plan no es asociado al usuario porque el DNI ya no es el mismo</t>
  </si>
  <si>
    <t>Credencial - Vetify - Cambiar DNI - Nueva compra con el DNI nuevo</t>
  </si>
  <si>
    <t>1. Iniciar sesión con un usuario con un plan vigente
2. Navegar al perfil del usuario
3. Cambiar el número de DNI
4. Presionar el botón "Guardar cambios"
5. Ingresar a la web institucional
6. Realizar un flujo de compra con el DNI actual</t>
  </si>
  <si>
    <t xml:space="preserve"> - La compra es realizada exitosamente
 - El nuevo es asociado correctamente al usuario</t>
  </si>
  <si>
    <t>Capitados</t>
  </si>
  <si>
    <t>TS-01 Visualización de Planes</t>
  </si>
  <si>
    <t>Credencial - Vetify - Usuario con plan - Plan sin mascota asociada</t>
  </si>
  <si>
    <t xml:space="preserve"> - Usuario registrado con un plan vigente
 - Plan vigente sin mascota asociada</t>
  </si>
  <si>
    <t>1. Iniciar sesión con un usuario con un plan vigente que no tenga mascota asociada a al menos un plan
2. Navegar a la pantalla de mascotas
3. Visualizar un plan sin mascota asignada</t>
  </si>
  <si>
    <t xml:space="preserve"> - Hay un mensaje indicando que el plan no tiene una mascota asignada
 - El plan presenta un botón para cargar los datos</t>
  </si>
  <si>
    <t>Credencial - Vetify - Usuario con plan - Plan con mascota asociada</t>
  </si>
  <si>
    <t>1. Iniciar sesión con un usuario con un plan vigente que tenga mascota asociada a al menos un plan
2. Navegar a la pantalla de mascotas
3. Visualizar un plan con mascota asignada</t>
  </si>
  <si>
    <t xml:space="preserve"> - El plan muestra los datos de la mascota asociada al plan (foto, nombre) además de un botón/acción para ver/descargar la credencial</t>
  </si>
  <si>
    <t>Credencial - Vetify - Subscribir nueva mascota - Sin planes libres</t>
  </si>
  <si>
    <t xml:space="preserve"> - Usuario registrado con un plan vigente
 - El usuario ha registrado una mascota en cada uno de los planes contratados</t>
  </si>
  <si>
    <t>1. Iniciar sesión con un usuario con un plan vigente
2. Navegar a la pantalla de mascotas
3. Presionar el botón "Agregar mascota"</t>
  </si>
  <si>
    <t xml:space="preserve"> - El sistema redirecciona a la web institucional de vetify (permitiendo al usuario adquirir un otro plan)</t>
  </si>
  <si>
    <t>Credencial - Vetify - Subscribir nueva mascota - Con planes libres</t>
  </si>
  <si>
    <t xml:space="preserve"> - Usuario registrado con un plan vigente
 - El usuario cuenta con planes sin mascota asignadas</t>
  </si>
  <si>
    <t xml:space="preserve"> - El sistema abre el modal para cargar la mascota del uno de los planes sin mascotas</t>
  </si>
  <si>
    <t>TS-02 Cargar credencial - Validación de Pasos</t>
  </si>
  <si>
    <t>Cargar Credencial - Vetify - Inicio - Comenzar carga</t>
  </si>
  <si>
    <t xml:space="preserve"> - Usuario autenticado
 - Usuario con al menos un plan sin mascota
 - El usuario se encuenta en la pantalla de comienzo de carga de credencial</t>
  </si>
  <si>
    <t>1. Presionar el botón "Continuar"</t>
  </si>
  <si>
    <t>El usuario es redireccionado correctamente al paso 1</t>
  </si>
  <si>
    <t>Cargar Credencial - Vetify - Inicio - Volver al Home</t>
  </si>
  <si>
    <t>1. Presionar el botón atrás</t>
  </si>
  <si>
    <t>El sistema redirecciona correctamente a la pantalla de home</t>
  </si>
  <si>
    <t>Paso 1 - Nombre - Limite de caracteres</t>
  </si>
  <si>
    <t xml:space="preserve"> - Usuario autenticado
 - Usuario con al menos un plan sin mascota
 - El usuario se encuenta en el paso 1 del proceso de carga de credencial</t>
  </si>
  <si>
    <t>1. Ingresar un sólo caracter en el campo nombre</t>
  </si>
  <si>
    <t xml:space="preserve"> - El sistema muestra un mensaje de error indicando que la cantidad de caracteres para el campo nombre debe ser de entre 2 a 100 (extremos incluídos)
 - El botón "Continuar" permanece deshabilitado</t>
  </si>
  <si>
    <t>1. Ingresar más de 100 caracteres en el campo nombre</t>
  </si>
  <si>
    <t>Paso 1 - Navegar al paso 2</t>
  </si>
  <si>
    <t>1. Ingresar un nombre de mascota (entre 2 a 100 caracteres)
2. Presionar el botón "Continuar"</t>
  </si>
  <si>
    <t xml:space="preserve"> - El sistema redirecciona al usuario al paso 2 del proceso de carga de credencial</t>
  </si>
  <si>
    <t>CP-06</t>
  </si>
  <si>
    <t>Paso 1 - Volver a la pantalla de comienzo</t>
  </si>
  <si>
    <t xml:space="preserve"> - El sistema redirecciona al usuario a la pantalla de home. 
 - Todos los datos ingresados son descartados</t>
  </si>
  <si>
    <t>CP-07</t>
  </si>
  <si>
    <t>Paso 2 - Seleccionar sólo tipo de mascota</t>
  </si>
  <si>
    <t xml:space="preserve"> - Usuario autenticado
 - Usuario con al menos un plan sin mascota
 - El usuario se encuenta en el paso 2 del proceso de carga de credencial</t>
  </si>
  <si>
    <t>1. Seleccionar el tipo de mascota</t>
  </si>
  <si>
    <t xml:space="preserve"> - El botón "Continuar" permanece deshabilitado</t>
  </si>
  <si>
    <t>CP-08</t>
  </si>
  <si>
    <t>Paso 2 - Seleccionar sólo género</t>
  </si>
  <si>
    <t>1. Seleccionar el género</t>
  </si>
  <si>
    <t>CP-09</t>
  </si>
  <si>
    <t>Paso 2 - Navegar al paso 3</t>
  </si>
  <si>
    <t>1. Seleccionar el género
2. Seleccionar el tipo de mascota
3. Presionar el botón "Continuar"</t>
  </si>
  <si>
    <t xml:space="preserve"> - El sistema redirecciona al usuario al paso 3 del proceso de carga de credencial</t>
  </si>
  <si>
    <t>CP-10</t>
  </si>
  <si>
    <t>Paso 2 - Volver al paso 1</t>
  </si>
  <si>
    <t xml:space="preserve"> - El sistema redirecciona al usuario al paso 1 del proceso de carga de credencial</t>
  </si>
  <si>
    <t>CP-11</t>
  </si>
  <si>
    <t>Paso 3 - Validar listado de raza - Tipo perro</t>
  </si>
  <si>
    <t xml:space="preserve"> - Usuario autenticado
 - Usuario con al menos un plan sin mascota
 - El usuario se encuenta en el paso 3 del proceso de carga de credencial
 - El usuario seleccionó tipo de mascota "Perro" en el paso 3 del proceso de carga de credencial</t>
  </si>
  <si>
    <t>1. Deplegar el selector de la raza de mascota</t>
  </si>
  <si>
    <t xml:space="preserve"> - El sistema lista correctamente todas las razas de perro</t>
  </si>
  <si>
    <t>CP-12</t>
  </si>
  <si>
    <t>Paso 3 - Validar listado de raza - Tipo gato</t>
  </si>
  <si>
    <t xml:space="preserve"> - Usuario autenticado
 - Usuario con al menos un plan sin mascota
 - El usuario se encuenta en el paso 3 del proceso de carga de credencial
 - El usuario seleccionó tipo de mascota "Gato" en el paso 3 del proceso de carga de credencial</t>
  </si>
  <si>
    <t xml:space="preserve"> - El sistema lista correctamente todas las razas de gato</t>
  </si>
  <si>
    <t>CP-13</t>
  </si>
  <si>
    <t>Paso 3 - Navegar al paso 4</t>
  </si>
  <si>
    <t xml:space="preserve"> - Usuario autenticado
 - Usuario con al menos un plan sin mascota
 - El usuario se encuenta en el paso 3 del proceso de carga de credencial</t>
  </si>
  <si>
    <t>1. Seleccionar una raza
2. Presionar el botón continuar</t>
  </si>
  <si>
    <t xml:space="preserve"> - El sistema redirecciona al usuario al paso 4 del proceso de carga de credencial</t>
  </si>
  <si>
    <t>CP-14</t>
  </si>
  <si>
    <t>Paso 3 - Volver al paso 2</t>
  </si>
  <si>
    <t>CP-15</t>
  </si>
  <si>
    <t>Paso 4 - Seleccionar una fecha futura</t>
  </si>
  <si>
    <t xml:space="preserve"> - Usuario autenticado
 - Usuario con al menos un plan sin mascota
 - El usuario se encuenta en el paso 4 del proceso de carga de credencial</t>
  </si>
  <si>
    <t>1. Ingresar una fecha futura</t>
  </si>
  <si>
    <t xml:space="preserve"> - El sistema rechaza la fecha ingresada (puede mostrar mensaje de error)
 - El botón "Continuar" permanece deshabilitado</t>
  </si>
  <si>
    <t>CP-16</t>
  </si>
  <si>
    <t>Paso 4 - Navegar al paso 5</t>
  </si>
  <si>
    <t>1. Seleccionar una fecha (pasada)
2. Presionar el botón continuar</t>
  </si>
  <si>
    <t xml:space="preserve"> - El sistema redirecciona al usuario al paso 5 del proceso de carga de credencial</t>
  </si>
  <si>
    <t>CP-17</t>
  </si>
  <si>
    <t>Paso 4 - Volver al paso 3</t>
  </si>
  <si>
    <t>CP-18</t>
  </si>
  <si>
    <t>Paso 5 - Usar cámara - Cámara no disponible</t>
  </si>
  <si>
    <t xml:space="preserve"> - Usuario autenticado
 - Usuario con al menos un plan sin mascota
 - El usuario se encuenta en el paso 5 del proceso de carga de credencial
 - La cámara no se encuentra disponible para ser usada (desktop)</t>
  </si>
  <si>
    <t>1. VIsualizar la pantalla del paso 5</t>
  </si>
  <si>
    <t xml:space="preserve"> - La opción de usar cámara queda deshabilitado</t>
  </si>
  <si>
    <t>CP-19</t>
  </si>
  <si>
    <t>Paso 5 - Usar cámara - Cámara disponible</t>
  </si>
  <si>
    <t xml:space="preserve"> - Usuario autenticado
 - Usuario con al menos un plan sin mascota
 - El usuario se encuenta en el paso 5 del proceso de carga de credencial
 - La cámara se encuentra disponible para ser usada (desktop)</t>
  </si>
  <si>
    <t>1. Presionar el botón "Usar cámara"</t>
  </si>
  <si>
    <t xml:space="preserve"> - El sistema carga correctamente la funcionalidad de la cámara permitiendole al usuario tomar una foto</t>
  </si>
  <si>
    <t>CP-20</t>
  </si>
  <si>
    <t>1. Tomar una foto</t>
  </si>
  <si>
    <t xml:space="preserve"> - El sitema toma la foto correctamente
 - El botón continuar queda habilitado</t>
  </si>
  <si>
    <t>CP-21</t>
  </si>
  <si>
    <t>Paso 5 - Subir foto - Archivo en formato no permitido</t>
  </si>
  <si>
    <t xml:space="preserve"> - Usuario autenticado
 - Usuario con al menos un plan sin mascota
 - El usuario se encuenta en el paso 5 del proceso de carga de credencial</t>
  </si>
  <si>
    <t>1. A través de la opción de carga de foto, seleccionar un archivo que no sea de tipo imágen  (.jpg, .png)</t>
  </si>
  <si>
    <t>El sistema rechaza el archivo con el mensaje "No se pudo cargar la foto" y el botón "Continuar" permanece deshabilitado (confirmado en vivo 2026-08-07, Desktop y Android)</t>
  </si>
  <si>
    <t>CP-22</t>
  </si>
  <si>
    <t>Paso 5 - Subir foto - Imágen demasiado grande</t>
  </si>
  <si>
    <t>1. Seleccionar una imágen de más de 5Mb de tamaño</t>
  </si>
  <si>
    <t xml:space="preserve"> - El sistema muestra un mensaje de error indicando que el tamaño de imágen seleccionado es demasiado grande</t>
  </si>
  <si>
    <t>CP-23</t>
  </si>
  <si>
    <t>Paso 5 - Subir foto correctamente</t>
  </si>
  <si>
    <t xml:space="preserve"> - La foto es subida correctamente
 - El usuario puede seleccionar otra imágen
 - El botón continuar queda habilitado</t>
  </si>
  <si>
    <t>CP-24</t>
  </si>
  <si>
    <t>Paso 5 - Volver al paso 4</t>
  </si>
  <si>
    <t>TS-03 Crear Credencial</t>
  </si>
  <si>
    <t>Cargar credencial con foto</t>
  </si>
  <si>
    <t>1. Seleccionar una foto / tomar una foto
2. Presionar el botón continuar</t>
  </si>
  <si>
    <t xml:space="preserve"> - El sistema realiza la carga de la credencial de forma exitosa (con la foto)</t>
  </si>
  <si>
    <t>[Obsoleto] Cargar credencial sin foto (Omitir)</t>
  </si>
  <si>
    <t>1. Presionar el botón "Omitir"</t>
  </si>
  <si>
    <t>HALLAZGO 2026-08-07: no existe ningún botón "Omitir" en la pantalla real de carga de foto — confirmado en vivo. "Continuar" permanece deshabilitado tanto antes de subir nada como después de un intento fallido. La foto es obligatoria hoy en la UI, a diferencia de lo que asume este caso. No automatizable tal como está diseñado — pendiente confirmar con producto si es un cambio de requisito intencional.</t>
  </si>
  <si>
    <t>TS-04 Ver Credenciales</t>
  </si>
  <si>
    <t>Credencial - Vetify - Ver crendencial</t>
  </si>
  <si>
    <t xml:space="preserve"> - Usuario registrado con un plan vigente
- Plan vigente con mascota asociada</t>
  </si>
  <si>
    <t>1. Iniciar sesión con un usuario con un plan vigente que tenga mascota asociada a al menos un plan
2. Navegar al perfil del usuario
3. Ir a la tab de "Mis planes"
4. Presionar el botón "Ver Credencial"</t>
  </si>
  <si>
    <t>El sistema muestra correctamente los datos de la mascota asociada al plan</t>
  </si>
  <si>
    <t>Credencial - Vetify - Descargar credencial</t>
  </si>
  <si>
    <t>1. Iniciar sesión con un usuario con un plan vigente que tenga mascota asociada a al menos un plan
2. Navegar al perfil del usuario
3. Ir a la tab de "Mis planes"
4. Presionar el botón "Ver Credencial"
5. Presionar el botón "Descargar"</t>
  </si>
  <si>
    <t>La credencial es descargada existosamente en un formato PDF con todos los datos correcto de la mascota</t>
  </si>
  <si>
    <t>IMAS-3899 — Solicitud de videollamada sin credencial cargada</t>
  </si>
  <si>
    <t>CP01</t>
  </si>
  <si>
    <t>IMAS-3899</t>
  </si>
  <si>
    <t>Validar bloqueo de avance sin credencial vigente</t>
  </si>
  <si>
    <t>Tutor autenticado con una mascota SIN credencial vigente cargada (plan con tag PLAN_WITHOUT_PET)</t>
  </si>
  <si>
    <t>1. Iniciar sesión
2. Iniciar solicitud de videollamada para esa mascota/plan</t>
  </si>
  <si>
    <t>No se permite avanzar en la reserva; se muestra la pantalla informativa "Completá su credencial"</t>
  </si>
  <si>
    <t>CP02</t>
  </si>
  <si>
    <t>Validar contenido de la pantalla informativa</t>
  </si>
  <si>
    <t>Flujo interrumpido por falta de credencial (CP01)</t>
  </si>
  <si>
    <t>1. Observar la pantalla mostrada</t>
  </si>
  <si>
    <t>Encabezado "Completá su credencial" + texto "Para agendar una videollamada, primero necesitamos los datos de tu mascota." + botón "Completar credencial"</t>
  </si>
  <si>
    <t>CP03</t>
  </si>
  <si>
    <t>Validar acceso al flujo de carga de credencial desde la pantalla informativa</t>
  </si>
  <si>
    <t>Usuario viendo la pantalla informativa (CP02)</t>
  </si>
  <si>
    <t>1. Presionar "Completar credencial"</t>
  </si>
  <si>
    <t>Redirige a /pets/&lt;petId&gt;, pantalla "¡Vamos a empezar!" del flujo de carga de mascota</t>
  </si>
  <si>
    <t>CP04</t>
  </si>
  <si>
    <t>Validar retomar la solicitud tras cargar la credencial (feliz)</t>
  </si>
  <si>
    <t>Usuario en medio del flujo de carga de credencial iniciado desde CP03</t>
  </si>
  <si>
    <t>1. Completar y validar la carga de credencial exitosamente</t>
  </si>
  <si>
    <t>Continúa la solicitud de videollamada llevando a la pantalla de entrada ("Agendá nueva videollamada", con la mascota recién cargada ya disponible), sin pasar por Home. Confirmado por decisión de producto (PO) 2026-08-07 que este comportamiento cumple CA05 — no hace falta que aterrice más adentro del flujo (selector de motivo). Bug IMAS-4102 cerrado ("Hecho" en Jira).</t>
  </si>
  <si>
    <t>CP05</t>
  </si>
  <si>
    <t>[Negativo] [API] Validar que el backend rechaza la creación de turno sin credencial vigente</t>
  </si>
  <si>
    <t>Tutor sin credencial vigente; acceso a cliente HTTP con token de sesión válido</t>
  </si>
  <si>
    <t>1. Enviar request directa al endpoint de creación de turno con el petId de la mascota sin credencial, saltando el formulario de UI</t>
  </si>
  <si>
    <t>El backend rechaza la operación (status 4xx)</t>
  </si>
  <si>
    <t>IMAS-3174 — Rediseño solicitud de turno x 1 mascota</t>
  </si>
  <si>
    <t>IMAS-3174</t>
  </si>
  <si>
    <t>Validar flujo feliz completo sin pantalla de selección de mascota</t>
  </si>
  <si>
    <t>Tutor con una única mascota asociada a su plan (con credencial vigente)</t>
  </si>
  <si>
    <t>1. Iniciar solicitud de turno
2. Completar motivo
3. Adjuntar archivo (opcional, se puede omitir)
4. Elegir día/horario
5. Revisar datos
6. Confirmar</t>
  </si>
  <si>
    <t>NO aparece pantalla de selección de mascota (se auto-selecciona), va directo a "Motivo de la consulta"; el flujo se completa hasta la confirmación; las 3 franjas horarias (Mañana/Tarde/Noche) quedan disponibles desde la revisión</t>
  </si>
  <si>
    <t>Validar que "Motivo de la consulta" es un selector cerrado, sin texto libre</t>
  </si>
  <si>
    <t>Usuario en el paso "Motivo de la consulta"</t>
  </si>
  <si>
    <t>1. Intentar escribir un texto libre no listado en el campo</t>
  </si>
  <si>
    <t>Muestra "No encontramos coincidencias." y "Continuar" permanece deshabilitado. Listado real (alfabético + "Otro motivo" al final): Control después de una cirugía, Enfermedades crónicas, Revisión de estudios, Seguimiento de tratamiento, Síntomas leves o cambios recientes, Vacunas y desparasitación, Otro motivo</t>
  </si>
  <si>
    <t>[Negativo] Validar bloqueo de avance con campo obligatorio vacío</t>
  </si>
  <si>
    <t>Usuario completando el formulario con un campo obligatorio sin completar</t>
  </si>
  <si>
    <t>1. Dejar vacío un campo obligatorio
2. Intentar avanzar de paso o confirmar</t>
  </si>
  <si>
    <t>El avance se bloquea (botón "Continuar"/"Confirmar" deshabilitado o mensaje de validación bloqueante)</t>
  </si>
  <si>
    <t>Validar que campos opcionales no bloquean el avance</t>
  </si>
  <si>
    <t>Campos obligatorios completos, opcionales vacíos</t>
  </si>
  <si>
    <t>1. Avanzar de paso sin completar los campos opcionales</t>
  </si>
  <si>
    <t>El flujo continúa sin impedimento (Comentarios adicionales vacío, adjuntos omitidos con "Omitir")</t>
  </si>
  <si>
    <t>Validar pantalla de revisión y edición previa a confirmar</t>
  </si>
  <si>
    <t>Usuario completó todos los datos del formulario</t>
  </si>
  <si>
    <t>1. Avanzar al siguiente paso tras completar día/horario</t>
  </si>
  <si>
    <t>Pantalla "Revisá los datos y confirmá tu turno" con bloques Mascota, Fecha y hora, Motivo, Adjuntos — todos con botón "Editar" excepto Mascota</t>
  </si>
  <si>
    <t>CP06</t>
  </si>
  <si>
    <t>Validar que la mascota es el único campo NO editable en revisión</t>
  </si>
  <si>
    <t>Usuario en la pantalla de revisión del flujo de 1 mascota</t>
  </si>
  <si>
    <t>1. Intentar editar cada campo mostrado en la revisión</t>
  </si>
  <si>
    <t>Todos los campos son editables excepto la mascota — no existe botón "Editar mascota" con 1 sola mascota</t>
  </si>
  <si>
    <t>CP07</t>
  </si>
  <si>
    <t>Validar pantalla de confirmación</t>
  </si>
  <si>
    <t>Usuario confirma la solicitud con datos válidos</t>
  </si>
  <si>
    <t>1. Confirmar la solicitud</t>
  </si>
  <si>
    <t>Pantalla "¡&lt;Mascota&gt; ya tiene su turno reservado!" + fecha/hora + botón "Ir al inicio"; turno creado exitosamente (assistanceId)</t>
  </si>
  <si>
    <t>CP08</t>
  </si>
  <si>
    <t>Validar que el proceso de comunicaciones posterior no se modifica</t>
  </si>
  <si>
    <t>Turno generado exitosamente</t>
  </si>
  <si>
    <t>1. Finalizar la solicitud
2. Ir a Home</t>
  </si>
  <si>
    <t>Banner in-app "Tenés una videollamada programada — Para el día DD/MM/AA a las HH:MM h." con botón "Ir al detalle" visible en Home</t>
  </si>
  <si>
    <t>IMAS-3889 — Rediseño solicitud de turno +1 mascota</t>
  </si>
  <si>
    <t>IMAS-3889</t>
  </si>
  <si>
    <t>Validar selector de mascota obligatorio antes de continuar</t>
  </si>
  <si>
    <t>Tutor con más de una mascota asociada a su plan</t>
  </si>
  <si>
    <t>1. Iniciar la solicitud del turno</t>
  </si>
  <si>
    <t>Se muestra selector "Elegí para quién es la consulta" con todas las mascotas habilitadas; "Continuar" deshabilitado hasta elegir</t>
  </si>
  <si>
    <t>[Negativo] Validar bloqueo de "Continuar" sin mascota seleccionada</t>
  </si>
  <si>
    <t>Usuario en el selector de mascota, sin elegir ninguna</t>
  </si>
  <si>
    <t>1. Intentar continuar sin seleccionar</t>
  </si>
  <si>
    <t>El botón permanece deshabilitado</t>
  </si>
  <si>
    <t>Validar continuidad idéntica al flujo de 1 mascota tras seleccionar</t>
  </si>
  <si>
    <t>Usuario seleccionó una mascota del selector</t>
  </si>
  <si>
    <t>1. Continuar la solicitud (motivo → adjuntos → día/horario → revisión → confirmación)</t>
  </si>
  <si>
    <t>El resto del flujo se comporta igual que en IMAS-3174; el bloque "Mascota" de la revisión muestra el nombre correcto</t>
  </si>
  <si>
    <t>Validar motivo: texto libre filtra opciones del listado</t>
  </si>
  <si>
    <t>Usuario en el campo "Motivo de la consulta"</t>
  </si>
  <si>
    <t>1. Escribir texto libre en el campo</t>
  </si>
  <si>
    <t>El listado se filtra por las opciones existentes que coinciden (ej. "Vacunas" filtra a "Vacunas y desparasitación")</t>
  </si>
  <si>
    <t>Validar que elegir un motivo distinto de "otro motivo" habilita "Continuar"</t>
  </si>
  <si>
    <t>Usuario en el selector de motivo</t>
  </si>
  <si>
    <t>1. Elegir cualquier motivo del listado excepto "otro motivo"</t>
  </si>
  <si>
    <t>"Continuar" se habilita sin requerir campos adicionales</t>
  </si>
  <si>
    <t>[Negativo] Validar que "otro motivo" vuelve obligatorio el comentario adicional</t>
  </si>
  <si>
    <t>Usuario selecciona el motivo "otro motivo"</t>
  </si>
  <si>
    <t>1. Intentar continuar sin completar "comentarios adicionales"</t>
  </si>
  <si>
    <t>"Continuar" permanece deshabilitado hasta completar ese campo</t>
  </si>
  <si>
    <t>Validar edición de mascota en pantalla de revisión conservando datos válidos</t>
  </si>
  <si>
    <t>Usuario en la pantalla de revisión con una mascota seleccionada, fecha/hora y motivo cargados</t>
  </si>
  <si>
    <t>1. Tocar "Editar mascota"
2. Elegir la otra mascota
3. Continuar hasta volver a la revisión</t>
  </si>
  <si>
    <t>"Editar mascota" vuelve al selector de mascota (no directo a la revisión); al re-recorrer Motivo → Adjuntos → Día/horario, cada paso conserva el valor previamente cargado; la revisión final refleja la nueva mascota</t>
  </si>
  <si>
    <t>[Negativo/borde] Validar invalidación de campo dependiente al cambiar de mascota</t>
  </si>
  <si>
    <t>Usuario cambiando de mascota desde la revisión</t>
  </si>
  <si>
    <t>1. Cambiar de mascota y verificar si algún campo dependiente se invalida</t>
  </si>
  <si>
    <t>No existe ningún campo dependiente de la mascota en este flujo (motivo, adjuntos y día/horario son genéricos por usuario, no por mascota); solo aplica la conservación (CP07)</t>
  </si>
  <si>
    <t>CP09</t>
  </si>
  <si>
    <t>Validar botón "Continuar" en adjuntos deshabilitado sin al menos 1 archivo</t>
  </si>
  <si>
    <t>Usuario en el paso de adjuntos, sin cargar ningún archivo</t>
  </si>
  <si>
    <t>1. Iniciar la carga sin adjuntar nada
2. Revisar el estado de "Continuar"</t>
  </si>
  <si>
    <t>Permanece deshabilitado por defecto; solo "Omitir" permite avanzar sin adjuntar</t>
  </si>
  <si>
    <t>CP10</t>
  </si>
  <si>
    <t>[Negativo] Validar rechazo de formato de archivo no permitido</t>
  </si>
  <si>
    <t>Archivo de prueba en un formato NO permitido (fuera de .png/.jpg/.pdf/.mp4/.mov)</t>
  </si>
  <si>
    <t>1. Intentar adjuntar ese archivo</t>
  </si>
  <si>
    <t>No se carga; mensaje de error de formato inválido</t>
  </si>
  <si>
    <t>CP11</t>
  </si>
  <si>
    <t>[Negativo] Validar rechazo de archivo que excede el peso permitido</t>
  </si>
  <si>
    <t>Archivo de prueba que excede el límite de peso</t>
  </si>
  <si>
    <t>1. Intentar adjuntar el archivo</t>
  </si>
  <si>
    <t>Mensaje "Formatos permitidos: .png, .jpg o .pdf (hasta 10 MB c/u) y video .mp4 o .mov (máx. 1 min o 100 MB)", máximo 5 archivos; el archivo no se carga</t>
  </si>
  <si>
    <t>CP12</t>
  </si>
  <si>
    <t>[Borde] Validar bloqueo del botón de subir al llegar a 5 archivos</t>
  </si>
  <si>
    <t>Usuario con 5 archivos ya adjuntados</t>
  </si>
  <si>
    <t>1. Intentar adjuntar un 6to archivo</t>
  </si>
  <si>
    <t>El botón de subir se bloquea al llegar a 5 archivos</t>
  </si>
  <si>
    <t>CP13</t>
  </si>
  <si>
    <t>[Borde, mobile] Validar bloqueo específico de cámara al llegar a 5 archivos</t>
  </si>
  <si>
    <t>Mismo que CP12, en viewport mobile</t>
  </si>
  <si>
    <t>1. Intentar usar la cámara con 5 archivos ya adjuntados</t>
  </si>
  <si>
    <t>El botón "Usar cámara" también se bloquea al llegar a 5 archivos</t>
  </si>
  <si>
    <t>CP14</t>
  </si>
  <si>
    <t>Validar que los archivos cargados pueden borrarse</t>
  </si>
  <si>
    <t>Usuario con al menos 1 archivo cargado</t>
  </si>
  <si>
    <t>1. Seleccionar la opción de borrar ese archivo</t>
  </si>
  <si>
    <t>El archivo se elimina de la lista de adjuntos (botón aria-label="DeleteFile")</t>
  </si>
  <si>
    <t>CP15</t>
  </si>
  <si>
    <t>[Negativo] [API] Validar bypass de validaciones de archivos directo al backend</t>
  </si>
  <si>
    <t>Acceso a cliente HTTP con sesión válida</t>
  </si>
  <si>
    <t>1. Enviar request directa de creación de turno con archivos inválidos, saltando la UI</t>
  </si>
  <si>
    <t>El backend rechaza la operación</t>
  </si>
  <si>
    <t>CP16</t>
  </si>
  <si>
    <t>Validar que el calendario solo habilita 30 días de anticipación (front)</t>
  </si>
  <si>
    <t>Usuario en el selector de día</t>
  </si>
  <si>
    <t>1. Intentar seleccionar una fecha más allá de 30 días desde hoy</t>
  </si>
  <si>
    <t>La fecha no está habilitada/seleccionable en el calendario (react-datepicker, aria-label "Not available &lt;fecha&gt;")</t>
  </si>
  <si>
    <t>CP17</t>
  </si>
  <si>
    <t>[Negativo] [API] Validar rechazo de fecha fuera de ventana de 30 días directo al backend</t>
  </si>
  <si>
    <t>1. Enviar request directa de creación de turno con fecha &gt; 30 días desde hoy, saltando el calendario de UI</t>
  </si>
  <si>
    <t>CP18</t>
  </si>
  <si>
    <t>Validar pantalla de confirmación y proceso de comunicaciones sin cambios (multi-mascota)</t>
  </si>
  <si>
    <t>Turno multi-mascota confirmado exitosamente</t>
  </si>
  <si>
    <t>1. Confirmar la solicitud
2. Ir a Home</t>
  </si>
  <si>
    <t>Pantalla de confirmación según diseño aprobado; banner de turno programado visible en Home — mismo copy/comportamiento que IMAS-3174 CP07/CP08</t>
  </si>
  <si>
    <t>IMAS-3909 — Casuísticas especiales, con turno previo (límites)</t>
  </si>
  <si>
    <t>CA01</t>
  </si>
  <si>
    <t>IMAS-3909</t>
  </si>
  <si>
    <t>Validación de cantidad máxima de turnos por mascota</t>
  </si>
  <si>
    <t>Mascota con 2 turnos ya agendados (el máximo)</t>
  </si>
  <si>
    <t>1. Intentar iniciar una nueva solicitud de videollamada</t>
  </si>
  <si>
    <t>El sistema bloquea antes de llegar al selector de motivo — modal "Superaste el límite de videollamadas por mascota"</t>
  </si>
  <si>
    <t>CA02</t>
  </si>
  <si>
    <t>Pantalla de imposibilidad por límite de turnos</t>
  </si>
  <si>
    <t>Mismo que CA01</t>
  </si>
  <si>
    <t>1. Observar el modal de bloqueo</t>
  </si>
  <si>
    <t>Modal sobre la pantalla de entrada (no una pantalla aparte); mensaje "Ya tenés 2 videollamadas programadas para &lt;Mascota&gt;. Podés agendar otra cuando finalice uno de tus turnos activos, o cancelar/reprogramar alguno."</t>
  </si>
  <si>
    <t>CA03</t>
  </si>
  <si>
    <t>Visualización de turnos existentes</t>
  </si>
  <si>
    <t>Usuario con al menos 1 turno agendado</t>
  </si>
  <si>
    <t>1. Ver la sección "Tus turnos" en la pantalla de entrada</t>
  </si>
  <si>
    <t>"Tus turnos" aparece con los turnos existentes (mascota + fecha/hora) en cuanto hay ≥1 turno agendado</t>
  </si>
  <si>
    <t>CA04</t>
  </si>
  <si>
    <t>Mascota asociada al turno (multi-mascota)</t>
  </si>
  <si>
    <t>Cuenta multi-mascota, una mascota en el límite de 2 turnos y otra sin turnos</t>
  </si>
  <si>
    <t>1. Tocar "Agendar nueva videollamada"
2. Elegir la mascota en el límite y tocar "Continuar"
3. Repetir eligiendo la otra mascota</t>
  </si>
  <si>
    <t>El límite aplica únicamente sobre la mascota seleccionada — con la mascota en el límite bloquea, con la otra el flujo continúa normal</t>
  </si>
  <si>
    <t>IMAS-3894 — Visualización, reprogramación, cancelación e ingreso a turno</t>
  </si>
  <si>
    <t>IMAS-3894</t>
  </si>
  <si>
    <t>Validar aviso destacado en Home y acceso al detalle</t>
  </si>
  <si>
    <t>Tutor con un turno futuro agendado</t>
  </si>
  <si>
    <t>1. Ir a la Home
2. Presionar "Ir al detalle" desde el aviso</t>
  </si>
  <si>
    <t>La Home muestra un aviso "Tenés una videollamada programada — Para el día DD/MM/AA a las HH:MM h." con botón "Ir al detalle" que permite acceder al turno</t>
  </si>
  <si>
    <t>Validar contenido del detalle del turno</t>
  </si>
  <si>
    <t>Usuario en el detalle de un turno futuro</t>
  </si>
  <si>
    <t>1. Abrir el detalle</t>
  </si>
  <si>
    <t>Muestra Mascota, Fecha, Hora y acciones disponibles. El campo "Estado del turno" NO se muestra — confirmado por decisión de producto (PO) 2026-08-07 que el Figma es correcto y el CA02 de la HU se ajusta para sacar ese requisito (nunca se diseñó ese campo). IMAS-4119 cerrado ("Hecho" en Jira).</t>
  </si>
  <si>
    <t>Validar cancelación con doble check</t>
  </si>
  <si>
    <t>Usuario en el detalle, turno cancelable (≥30 min antes del horario)</t>
  </si>
  <si>
    <t>1. Presionar "Cancelar"
2. Confirmar en el modal</t>
  </si>
  <si>
    <t>Modal "Estás por cancelar tu videollamada" / "Si cancelás el turno, vas a perder el horario reservado."; al confirmar, el turno se cancela y se muestra "Tu turno fue cancelado"</t>
  </si>
  <si>
    <t>Validar reprogramación reutilizando mascota y motivo</t>
  </si>
  <si>
    <t>Usuario en el detalle, turno reprogramable</t>
  </si>
  <si>
    <t>1. Presionar "Reprogramar"
2. Elegir nuevo día/horario
3. Confirmar</t>
  </si>
  <si>
    <t>Reutiliza mascota y motivo sin pedirlos de nuevo; confirma con la nueva fecha/hora, actualizando Home y detalle. La assistanceId vieja queda CANCELADA y su detalle ya NO ofrece acciones habilitadas al reabrirla directo por URL — hallazgo 2 de IMAS-4119 confirmado RESUELTO por retest automatizado (CP08) el 2026-08-07.</t>
  </si>
  <si>
    <t>[Brecha de cobertura] Validar habilitación de "Ingresar" dentro de la ventana de 5 min (CA05, caso positivo)</t>
  </si>
  <si>
    <t>Turno dentro de la ventana de 5 min previos al horario</t>
  </si>
  <si>
    <t>1. Abrir el detalle de un turno dentro de esa ventana</t>
  </si>
  <si>
    <t>"Ingresar" se habilita (confirmado manualmente vía MCP contra QA real)</t>
  </si>
  <si>
    <t>[Fuera de alcance] Sala de espera, ingreso y salida de la videoconsulta (CA06-CA08)</t>
  </si>
  <si>
    <t>Turno dentro de ventana + profesional conectado del otro lado</t>
  </si>
  <si>
    <t>1. Ingresar a la videoconsulta</t>
  </si>
  <si>
    <t>Sala de espera → conexión con el profesional → salida</t>
  </si>
  <si>
    <t>[Fuera de alcance] Comunicaciones tras cancelar/reprogramar (CA09)</t>
  </si>
  <si>
    <t>Turno cancelado o reprogramado</t>
  </si>
  <si>
    <t>1. Verificar el envío de la comunicación correspondiente</t>
  </si>
  <si>
    <t>Se envía email/push de confirmación</t>
  </si>
  <si>
    <t>[Regresión] Validar que la assistanceId vieja no ofrece acciones habilitadas tras reprogramar (IMAS-4119, hallazgo 2)</t>
  </si>
  <si>
    <t>Usuario con un turno de videollamada futuro ya agendado.</t>
  </si>
  <si>
    <t>1. Reprogramar el turno.
2. Volver a abrir el detalle de la assistanceId original (ya reemplazada/cancelada por la reprogramación).</t>
  </si>
  <si>
    <t>La reprogramación genera una assistanceId nueva y deja la original en estado CANCELADO. El detalle de la assistanceId original ya no ofrece "Ingresar", "Reprogramar" ni "Cancelar" como si el turno siguiera vigente.</t>
  </si>
  <si>
    <t>IMAS-4023 — Casuísticas especiales - Error al subir archivo</t>
  </si>
  <si>
    <t>IMAS-4023</t>
  </si>
  <si>
    <t>[Negativo] Validar rechazo de archivo con formato no soportado</t>
  </si>
  <si>
    <t>Usuario en el paso de adjuntos, con un archivo de prueba en formato NO soportado (ej. .txt)</t>
  </si>
  <si>
    <t>El sistema rechaza el archivo con el mensaje "Error de carga" / "No se pudo subir el archivo. Intentá nuevamente." (CA01, CA02, CA06 — texto confirmado en vivo contra QA real)</t>
  </si>
  <si>
    <t>[Borde] Validar bloqueo del selector de archivos al llegar a 5 adjuntados</t>
  </si>
  <si>
    <t>Usuario con 5 archivos válidos ya adjuntados</t>
  </si>
  <si>
    <t>1. Observar el bloque de carga tras el 5to archivo</t>
  </si>
  <si>
    <t>El selector de archivos (input) deja de estar disponible al llegar a 5 — no se puede adjuntar un 6to (CA01, CA05). El texto "Cargá foto, video o archivo" sigue visible, no desaparece</t>
  </si>
  <si>
    <t>[Borde, mobile] Validar el mismo bloqueo en viewport mobile (incluye cámara)</t>
  </si>
  <si>
    <t>Mismo que CP02, en viewport mobile (Android)</t>
  </si>
  <si>
    <t>1. Observar el selector de archivos (con opción de cámara) tras el 5to archivo</t>
  </si>
  <si>
    <t>El selector completo, incluida la opción de cámara, deja de estar disponible al llegar a 5 archivos (CA01, CA05) — verificado en Android real</t>
  </si>
  <si>
    <t>Validar reintento de carga tras error (archivo inválido → archivo válido)</t>
  </si>
  <si>
    <t>Usuario en el paso de adjuntos, tras recibir el error de CP01</t>
  </si>
  <si>
    <t>1. Adjuntar un archivo válido a continuación, sin recargar la pantalla</t>
  </si>
  <si>
    <t>El archivo válido se adjunta correctamente y habilita "Continuar", sin arrastrar el error anterior (CA03 — reintento de carga)</t>
  </si>
  <si>
    <t>[Fuera de alcance] Analítica de intentos/rechazos/reintentos de carga (CA07)</t>
  </si>
  <si>
    <t>—</t>
  </si>
  <si>
    <t>1. Verificar registro de eventos de analítica al subir/rechazar/reintentar un archivo</t>
  </si>
  <si>
    <t>Descartado por decisión de producto (PO) 2026-08-07: no fue algo hablado al definir la HU y no aporta valor suficiente. No se automatiza</t>
  </si>
  <si>
    <t>Automatizado Mobile?</t>
  </si>
  <si>
    <t>N/A</t>
  </si>
  <si>
    <t>Automatizable?</t>
  </si>
  <si>
    <t>Automatizable Desktop?</t>
  </si>
  <si>
    <t>Automatizable Mobile?</t>
  </si>
  <si>
    <t>Casos Automatizables (Desktop)</t>
  </si>
  <si>
    <t>Casos Automatizados (Desktop)</t>
  </si>
  <si>
    <t>% Automatizables ya Automatizados</t>
  </si>
  <si>
    <t>Casos Automatizables (Mobile)</t>
  </si>
  <si>
    <t>Casos Automatizados (Mobile)</t>
  </si>
  <si>
    <t>Nota: 'Automatizable' = tecnicamente viable con la infraestructura actual del proyecto (aunque hoy no este hecho, ej. bloqueado solo por falta de un dato de prueba puntual, como un cupon real). 'No automatizable' = bloqueo real y practico (leer un email real, esperar una ventana de tiempo real, requiere un humano real del otro lado, restriccion de picker nativo en mobile). Ver columna Automatizable de cada hoja para el detalle fila por fila. Agregado 2026-08-14.</t>
  </si>
  <si>
    <t>TS-04 IMAS-3217 - Olvidé contraseña</t>
  </si>
  <si>
    <t>Acceso al flujo de reseteo desde login</t>
  </si>
  <si>
    <t>Usuario en /auth/login, sin sesión iniciada.</t>
  </si>
  <si>
    <t>Presionar "¿Olvidaste tu contraseña?".</t>
  </si>
  <si>
    <t>No hay navegación a otra URL — se expande un sub-formulario inline con input "Correo electrónico" y botón "Enviar".</t>
  </si>
  <si>
    <t>Solicitud de reset con email registrado</t>
  </si>
  <si>
    <t>Usuario con el sub-formulario de reseteo expandido; existe un usuario registrado.</t>
  </si>
  <si>
    <t>Ingresar el email del usuario y presionar "Enviar".</t>
  </si>
  <si>
    <t>POST /api/passrecovery responde 200 con mensaje genérico; UI muestra "Te hemos enviado un correo para que puedas resetear tu contraseña".</t>
  </si>
  <si>
    <t>[Negativo] Solicitud de reset con email no registrado</t>
  </si>
  <si>
    <t>Usuario con el sub-formulario de reseteo expandido.</t>
  </si>
  <si>
    <t>Ingresar un email no asociado a ningún usuario y presionar "Enviar".</t>
  </si>
  <si>
    <t>Respuesta y mensaje idénticos al caso de email registrado — no revela si el email existe (previene user enumeration).</t>
  </si>
  <si>
    <t>[Bug conocido] [Negativo] Campo email obligatorio</t>
  </si>
  <si>
    <t>Usuario con el sub-formulario de reseteo expandido, campo email vacío.</t>
  </si>
  <si>
    <t>Presionar "Enviar" sin ingresar email.</t>
  </si>
  <si>
    <t>Backend responde 400 "email es requerido". BUG (IMAS-4198): el frontend muestra un mensaje genérico de "problemas técnicos" en vez de indicar el campo obligatorio.</t>
  </si>
  <si>
    <t>[Bug conocido] [Negativo] Formato de email inválido no se valida</t>
  </si>
  <si>
    <t>Ingresar un valor sin formato de email válido (sin "@") y presionar "Enviar".</t>
  </si>
  <si>
    <t>BUG (IMAS-4199): no hay validación de formato — el backend responde 200 con el mismo mensaje de éxito genérico que un email válido.</t>
  </si>
  <si>
    <t>TS-04 IMAS-3216 - Olvidé contraseña</t>
  </si>
  <si>
    <t>TS-04 IMAS-3215 - Olvidé contraseña</t>
  </si>
  <si>
    <t>El sistema permite cambiar únicamente el número de teléfono. Nombre, Apellido y Número de Identificación NO son editables: se muestra un aviso fijo indicando que deben corregirse llamando al 0800 122 1183 (confirmado en vivo 2026-08-08 — contradice el criterio original de este caso, que asumía los 4 campos editables).</t>
  </si>
  <si>
    <t>TS-01 Reintegros - Cuentas de acreditacion e historial (Mobile, sin equivalente Desktop)</t>
  </si>
  <si>
    <t>Reintegros - Vetify - Muestra la seccion de cuentas de acreditacion</t>
  </si>
  <si>
    <t xml:space="preserve"> - Usuario autenticado con un plan vigente.</t>
  </si>
  <si>
    <t>1. Abrir el menu lateral.
2. Presionar "Reintegros".</t>
  </si>
  <si>
    <t xml:space="preserve"> - La pantalla carga con la seccion "Cuentas de acreditacion" visible (unica seccion confirmada sin depender del historial, que hoy falla por BUG-007/IMAS-4279 en la cuenta usada para probarlo).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</si>
</sst>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charset val="134"/>
      <scheme val="minor"/>
    </font>
    <font>
      <sz val="11"/>
      <color theme="0"/>
      <name val="Calibri"/>
      <charset val="134"/>
      <scheme val="minor"/>
    </font>
    <font>
      <sz val="11"/>
      <color rgb="FF000000"/>
      <name val="Calibri"/>
      <charset val="134"/>
      <scheme val="minor"/>
    </font>
    <font>
      <sz val="18"/>
      <color theme="0"/>
      <name val="Calibri"/>
      <charset val="134"/>
      <scheme val="minor"/>
    </font>
    <font>
      <sz val="11"/>
      <color rgb="FF000000"/>
      <name val="Calibri"/>
      <charset val="1"/>
    </font>
    <font>
      <sz val="20"/>
      <color theme="0"/>
      <name val="Nirmala UI"/>
      <charset val="134"/>
    </font>
    <font>
      <sz val="72"/>
      <color theme="1"/>
      <name val="Calibri"/>
      <charset val="134"/>
      <scheme val="minor"/>
    </font>
    <font>
      <sz val="16"/>
      <color theme="0"/>
      <name val="Calibri"/>
      <charset val="134"/>
      <scheme val="minor"/>
    </font>
    <font>
      <b/>
      <sz val="11"/>
      <color rgb="FFFFFFFF"/>
      <name val="Calibri"/>
      <family val="2"/>
      <scheme val="minor"/>
    </font>
    <font>
      <sz val="26"/>
      <color rgb="FF000000"/>
      <name val="Calibri"/>
      <family val="2"/>
      <scheme val="minor"/>
    </font>
    <font>
      <i/>
      <sz val="9"/>
      <color theme="1"/>
      <name val="Calibri"/>
      <family val="2"/>
      <scheme val="minor"/>
    </font>
    <font>
      <b/>
      <sz val="9"/>
      <color indexed="81"/>
      <name val="Tahoma"/>
      <charset val="1"/>
    </font>
  </fonts>
  <fills count="16">
    <fill>
      <patternFill patternType="none"/>
    </fill>
    <fill>
      <patternFill patternType="gray125"/>
    </fill>
    <fill>
      <patternFill patternType="solid">
        <fgColor theme="9" tint="-0.249977111117893"/>
        <bgColor indexed="64"/>
      </patternFill>
    </fill>
    <fill>
      <patternFill patternType="solid">
        <fgColor rgb="FF0070C0"/>
        <bgColor indexed="64"/>
      </patternFill>
    </fill>
    <fill>
      <patternFill patternType="solid">
        <fgColor theme="9" tint="0.79995117038483843"/>
        <bgColor indexed="64"/>
      </patternFill>
    </fill>
    <fill>
      <patternFill patternType="solid">
        <fgColor theme="0" tint="-0.249977111117893"/>
        <bgColor indexed="64"/>
      </patternFill>
    </fill>
    <fill>
      <patternFill patternType="solid">
        <fgColor theme="8" tint="0.79995117038483843"/>
        <bgColor indexed="64"/>
      </patternFill>
    </fill>
    <fill>
      <patternFill patternType="solid">
        <fgColor theme="0" tint="-0.14996795556505021"/>
        <bgColor indexed="64"/>
      </patternFill>
    </fill>
    <fill>
      <patternFill patternType="solid">
        <fgColor rgb="FFFFC000"/>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FF0000"/>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rgb="FF00B050"/>
        <bgColor indexed="64"/>
      </patternFill>
    </fill>
  </fills>
  <borders count="11">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4" borderId="0" xfId="0" applyFill="1" applyAlignment="1">
      <alignment horizontal="center" vertical="center" wrapText="1"/>
    </xf>
    <xf numFmtId="0" fontId="0" fillId="4" borderId="0" xfId="0" applyFill="1" applyAlignment="1">
      <alignment horizontal="left" vertical="center" wrapText="1"/>
    </xf>
    <xf numFmtId="0" fontId="0" fillId="5" borderId="0" xfId="0" applyFill="1"/>
    <xf numFmtId="0" fontId="0" fillId="6" borderId="0" xfId="0" applyFill="1" applyAlignment="1">
      <alignment horizontal="center" vertical="center" wrapText="1"/>
    </xf>
    <xf numFmtId="0" fontId="0" fillId="6" borderId="0" xfId="0" applyFill="1"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2" borderId="0" xfId="0" applyFont="1" applyFill="1" applyAlignment="1">
      <alignment vertical="center" wrapText="1"/>
    </xf>
    <xf numFmtId="0" fontId="1" fillId="2" borderId="0" xfId="0" applyFont="1" applyFill="1" applyAlignment="1">
      <alignment horizontal="lef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0" fillId="4" borderId="0" xfId="0" applyFill="1" applyAlignment="1">
      <alignment vertical="center" wrapText="1"/>
    </xf>
    <xf numFmtId="0" fontId="0" fillId="7" borderId="0" xfId="0"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left" vertical="center" wrapText="1"/>
    </xf>
    <xf numFmtId="0" fontId="0" fillId="6" borderId="0" xfId="0" applyFill="1" applyAlignment="1">
      <alignment vertical="center" wrapText="1"/>
    </xf>
    <xf numFmtId="0" fontId="2" fillId="6" borderId="0" xfId="0" applyFont="1" applyFill="1" applyAlignment="1">
      <alignment vertical="center" wrapText="1"/>
    </xf>
    <xf numFmtId="0" fontId="2" fillId="6" borderId="0" xfId="0" applyFont="1" applyFill="1" applyAlignment="1">
      <alignment horizontal="left" vertical="center" wrapText="1"/>
    </xf>
    <xf numFmtId="0" fontId="0" fillId="8" borderId="0" xfId="0" applyFill="1" applyAlignment="1">
      <alignment horizontal="left" vertical="center" wrapText="1"/>
    </xf>
    <xf numFmtId="0" fontId="4" fillId="6" borderId="0" xfId="0" applyFont="1" applyFill="1" applyAlignment="1">
      <alignment vertical="center"/>
    </xf>
    <xf numFmtId="0" fontId="4" fillId="4" borderId="0" xfId="0" applyFont="1" applyFill="1" applyAlignment="1">
      <alignment vertical="center"/>
    </xf>
    <xf numFmtId="0" fontId="0" fillId="10" borderId="0" xfId="0" applyFill="1"/>
    <xf numFmtId="0" fontId="0" fillId="10" borderId="0" xfId="0" applyFill="1" applyAlignment="1">
      <alignment horizontal="center"/>
    </xf>
    <xf numFmtId="0" fontId="0" fillId="10" borderId="0" xfId="0" applyFill="1" applyAlignment="1">
      <alignment horizontal="center" vertical="center"/>
    </xf>
    <xf numFmtId="0" fontId="1" fillId="12" borderId="0" xfId="0" applyFont="1" applyFill="1"/>
    <xf numFmtId="0" fontId="1" fillId="8" borderId="0" xfId="0" applyFont="1" applyFill="1"/>
    <xf numFmtId="0" fontId="1" fillId="13" borderId="0" xfId="0" applyFont="1" applyFill="1"/>
    <xf numFmtId="0" fontId="2" fillId="14" borderId="0" xfId="0" applyFont="1" applyFill="1"/>
    <xf numFmtId="0" fontId="1" fillId="15" borderId="0" xfId="0" applyFont="1" applyFill="1"/>
    <xf numFmtId="0" fontId="10" fillId="0" borderId="0" xfId="0" applyFont="1"/>
    <xf numFmtId="0" fontId="6" fillId="0" borderId="6" xfId="0" applyFont="1" applyBorder="1" applyAlignment="1">
      <alignment horizontal="center" vertical="center"/>
    </xf>
    <xf numFmtId="0" fontId="0" fillId="0" borderId="0" xfId="0"/>
    <xf numFmtId="0" fontId="0" fillId="0" borderId="5" xfId="0" applyBorder="1"/>
    <xf numFmtId="0" fontId="0" fillId="0" borderId="4" xfId="0" applyBorder="1"/>
    <xf numFmtId="0" fontId="0" fillId="0" borderId="7" xfId="0" applyBorder="1"/>
    <xf numFmtId="0" fontId="0" fillId="0" borderId="8" xfId="0" applyBorder="1"/>
    <xf numFmtId="0" fontId="0" fillId="0" borderId="9" xfId="0" applyBorder="1"/>
    <xf numFmtId="0" fontId="5" fillId="9" borderId="1" xfId="0" applyFont="1" applyFill="1" applyBorder="1" applyAlignment="1">
      <alignment horizontal="center" vertical="center"/>
    </xf>
    <xf numFmtId="0" fontId="0" fillId="0" borderId="2" xfId="0" applyBorder="1"/>
    <xf numFmtId="0" fontId="0" fillId="0" borderId="3" xfId="0" applyBorder="1"/>
    <xf numFmtId="0" fontId="7" fillId="11" borderId="0" xfId="0" applyFont="1" applyFill="1" applyAlignment="1">
      <alignment horizontal="center" vertical="center"/>
    </xf>
    <xf numFmtId="9" fontId="6" fillId="0" borderId="6" xfId="0" applyNumberFormat="1" applyFont="1" applyBorder="1" applyAlignment="1">
      <alignment horizontal="center" vertical="center"/>
    </xf>
    <xf numFmtId="0" fontId="8" fillId="9" borderId="10" xfId="0" applyFont="1" applyFill="1" applyBorder="1" applyAlignment="1">
      <alignment horizontal="center" vertical="center"/>
    </xf>
    <xf numFmtId="1" fontId="9" fillId="0" borderId="10" xfId="0" applyNumberFormat="1" applyFont="1" applyBorder="1" applyAlignment="1">
      <alignment horizontal="center" vertical="center"/>
    </xf>
    <xf numFmtId="164" fontId="9" fillId="0" borderId="10" xfId="0" applyNumberFormat="1" applyFont="1" applyBorder="1" applyAlignment="1">
      <alignment horizontal="center" vertical="center"/>
    </xf>
    <xf numFmtId="0" fontId="3" fillId="3"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4" borderId="0" xfId="0"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horizontal="left" vertical="center" wrapText="1"/>
    </xf>
    <xf numFmtId="0" fontId="0" fillId="6" borderId="0" xfId="0" applyFill="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154">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C2:X76"/>
  <sheetViews>
    <sheetView tabSelected="1" topLeftCell="A25" workbookViewId="0">
      <selection activeCell="C5" sqref="C5:H19"/>
    </sheetView>
  </sheetViews>
  <sheetFormatPr baseColWidth="10" defaultColWidth="9" defaultRowHeight="15"/>
  <sheetData>
    <row r="2" spans="3:24" ht="15.75" customHeight="1"/>
    <row r="3" spans="3:24">
      <c r="C3" s="44" t="s">
        <v>0</v>
      </c>
      <c r="D3" s="45"/>
      <c r="E3" s="45"/>
      <c r="F3" s="45"/>
      <c r="G3" s="45"/>
      <c r="H3" s="46"/>
      <c r="K3" s="44" t="s">
        <v>1</v>
      </c>
      <c r="L3" s="45"/>
      <c r="M3" s="45"/>
      <c r="N3" s="45"/>
      <c r="O3" s="45"/>
      <c r="P3" s="46"/>
      <c r="S3" s="44" t="s">
        <v>2</v>
      </c>
      <c r="T3" s="45"/>
      <c r="U3" s="45"/>
      <c r="V3" s="45"/>
      <c r="W3" s="45"/>
      <c r="X3" s="46"/>
    </row>
    <row r="4" spans="3:24">
      <c r="C4" s="40"/>
      <c r="D4" s="38"/>
      <c r="E4" s="38"/>
      <c r="F4" s="38"/>
      <c r="G4" s="38"/>
      <c r="H4" s="39"/>
      <c r="K4" s="40"/>
      <c r="L4" s="38"/>
      <c r="M4" s="38"/>
      <c r="N4" s="38"/>
      <c r="O4" s="38"/>
      <c r="P4" s="39"/>
      <c r="S4" s="40"/>
      <c r="T4" s="38"/>
      <c r="U4" s="38"/>
      <c r="V4" s="38"/>
      <c r="W4" s="38"/>
      <c r="X4" s="39"/>
    </row>
    <row r="5" spans="3:24" ht="15.75" customHeight="1">
      <c r="C5" s="37">
        <f>COUNTA('Flujo de Compra'!C3:C496,'Gestión de Usuario'!C3:C357,Perfil!C3:C199,Credenciales!C3:C199,Videollamadas!C3:C199,Reintegros!C2:C199,Misceláneas!C2:C199)</f>
        <v>254</v>
      </c>
      <c r="D5" s="38"/>
      <c r="E5" s="38"/>
      <c r="F5" s="38"/>
      <c r="G5" s="38"/>
      <c r="H5" s="39"/>
      <c r="K5" s="37">
        <f>COUNTIF('Flujo de Compra'!H:H,"Si")+COUNTIF('Gestión de Usuario'!H:H,"Si")+COUNTIF(Perfil!G:G,"Si")+COUNTIF(Credenciales!H:H,"Si")+COUNTIF(Videollamadas!H:H,"Si")+COUNTIF(Reintegros!G:G,"Si")</f>
        <v>188</v>
      </c>
      <c r="L5" s="38"/>
      <c r="M5" s="38"/>
      <c r="N5" s="38"/>
      <c r="O5" s="38"/>
      <c r="P5" s="39"/>
      <c r="S5" s="48">
        <f>K5/C5</f>
        <v>0.74015748031496065</v>
      </c>
      <c r="T5" s="38"/>
      <c r="U5" s="38"/>
      <c r="V5" s="38"/>
      <c r="W5" s="38"/>
      <c r="X5" s="39"/>
    </row>
    <row r="6" spans="3:24">
      <c r="C6" s="40"/>
      <c r="D6" s="38"/>
      <c r="E6" s="38"/>
      <c r="F6" s="38"/>
      <c r="G6" s="38"/>
      <c r="H6" s="39"/>
      <c r="K6" s="40"/>
      <c r="L6" s="38"/>
      <c r="M6" s="38"/>
      <c r="N6" s="38"/>
      <c r="O6" s="38"/>
      <c r="P6" s="39"/>
      <c r="S6" s="40"/>
      <c r="T6" s="38"/>
      <c r="U6" s="38"/>
      <c r="V6" s="38"/>
      <c r="W6" s="38"/>
      <c r="X6" s="39"/>
    </row>
    <row r="7" spans="3:24">
      <c r="C7" s="40"/>
      <c r="D7" s="38"/>
      <c r="E7" s="38"/>
      <c r="F7" s="38"/>
      <c r="G7" s="38"/>
      <c r="H7" s="39"/>
      <c r="K7" s="40"/>
      <c r="L7" s="38"/>
      <c r="M7" s="38"/>
      <c r="N7" s="38"/>
      <c r="O7" s="38"/>
      <c r="P7" s="39"/>
      <c r="S7" s="40"/>
      <c r="T7" s="38"/>
      <c r="U7" s="38"/>
      <c r="V7" s="38"/>
      <c r="W7" s="38"/>
      <c r="X7" s="39"/>
    </row>
    <row r="8" spans="3:24">
      <c r="C8" s="40"/>
      <c r="D8" s="38"/>
      <c r="E8" s="38"/>
      <c r="F8" s="38"/>
      <c r="G8" s="38"/>
      <c r="H8" s="39"/>
      <c r="K8" s="40"/>
      <c r="L8" s="38"/>
      <c r="M8" s="38"/>
      <c r="N8" s="38"/>
      <c r="O8" s="38"/>
      <c r="P8" s="39"/>
      <c r="S8" s="40"/>
      <c r="T8" s="38"/>
      <c r="U8" s="38"/>
      <c r="V8" s="38"/>
      <c r="W8" s="38"/>
      <c r="X8" s="39"/>
    </row>
    <row r="9" spans="3:24">
      <c r="C9" s="40"/>
      <c r="D9" s="38"/>
      <c r="E9" s="38"/>
      <c r="F9" s="38"/>
      <c r="G9" s="38"/>
      <c r="H9" s="39"/>
      <c r="K9" s="40"/>
      <c r="L9" s="38"/>
      <c r="M9" s="38"/>
      <c r="N9" s="38"/>
      <c r="O9" s="38"/>
      <c r="P9" s="39"/>
      <c r="S9" s="40"/>
      <c r="T9" s="38"/>
      <c r="U9" s="38"/>
      <c r="V9" s="38"/>
      <c r="W9" s="38"/>
      <c r="X9" s="39"/>
    </row>
    <row r="10" spans="3:24">
      <c r="C10" s="40"/>
      <c r="D10" s="38"/>
      <c r="E10" s="38"/>
      <c r="F10" s="38"/>
      <c r="G10" s="38"/>
      <c r="H10" s="39"/>
      <c r="K10" s="40"/>
      <c r="L10" s="38"/>
      <c r="M10" s="38"/>
      <c r="N10" s="38"/>
      <c r="O10" s="38"/>
      <c r="P10" s="39"/>
      <c r="S10" s="40"/>
      <c r="T10" s="38"/>
      <c r="U10" s="38"/>
      <c r="V10" s="38"/>
      <c r="W10" s="38"/>
      <c r="X10" s="39"/>
    </row>
    <row r="11" spans="3:24">
      <c r="C11" s="40"/>
      <c r="D11" s="38"/>
      <c r="E11" s="38"/>
      <c r="F11" s="38"/>
      <c r="G11" s="38"/>
      <c r="H11" s="39"/>
      <c r="K11" s="40"/>
      <c r="L11" s="38"/>
      <c r="M11" s="38"/>
      <c r="N11" s="38"/>
      <c r="O11" s="38"/>
      <c r="P11" s="39"/>
      <c r="S11" s="40"/>
      <c r="T11" s="38"/>
      <c r="U11" s="38"/>
      <c r="V11" s="38"/>
      <c r="W11" s="38"/>
      <c r="X11" s="39"/>
    </row>
    <row r="12" spans="3:24">
      <c r="C12" s="40"/>
      <c r="D12" s="38"/>
      <c r="E12" s="38"/>
      <c r="F12" s="38"/>
      <c r="G12" s="38"/>
      <c r="H12" s="39"/>
      <c r="K12" s="40"/>
      <c r="L12" s="38"/>
      <c r="M12" s="38"/>
      <c r="N12" s="38"/>
      <c r="O12" s="38"/>
      <c r="P12" s="39"/>
      <c r="S12" s="40"/>
      <c r="T12" s="38"/>
      <c r="U12" s="38"/>
      <c r="V12" s="38"/>
      <c r="W12" s="38"/>
      <c r="X12" s="39"/>
    </row>
    <row r="13" spans="3:24">
      <c r="C13" s="40"/>
      <c r="D13" s="38"/>
      <c r="E13" s="38"/>
      <c r="F13" s="38"/>
      <c r="G13" s="38"/>
      <c r="H13" s="39"/>
      <c r="K13" s="40"/>
      <c r="L13" s="38"/>
      <c r="M13" s="38"/>
      <c r="N13" s="38"/>
      <c r="O13" s="38"/>
      <c r="P13" s="39"/>
      <c r="S13" s="40"/>
      <c r="T13" s="38"/>
      <c r="U13" s="38"/>
      <c r="V13" s="38"/>
      <c r="W13" s="38"/>
      <c r="X13" s="39"/>
    </row>
    <row r="14" spans="3:24">
      <c r="C14" s="40"/>
      <c r="D14" s="38"/>
      <c r="E14" s="38"/>
      <c r="F14" s="38"/>
      <c r="G14" s="38"/>
      <c r="H14" s="39"/>
      <c r="K14" s="40"/>
      <c r="L14" s="38"/>
      <c r="M14" s="38"/>
      <c r="N14" s="38"/>
      <c r="O14" s="38"/>
      <c r="P14" s="39"/>
      <c r="S14" s="40"/>
      <c r="T14" s="38"/>
      <c r="U14" s="38"/>
      <c r="V14" s="38"/>
      <c r="W14" s="38"/>
      <c r="X14" s="39"/>
    </row>
    <row r="15" spans="3:24">
      <c r="C15" s="40"/>
      <c r="D15" s="38"/>
      <c r="E15" s="38"/>
      <c r="F15" s="38"/>
      <c r="G15" s="38"/>
      <c r="H15" s="39"/>
      <c r="K15" s="40"/>
      <c r="L15" s="38"/>
      <c r="M15" s="38"/>
      <c r="N15" s="38"/>
      <c r="O15" s="38"/>
      <c r="P15" s="39"/>
      <c r="S15" s="40"/>
      <c r="T15" s="38"/>
      <c r="U15" s="38"/>
      <c r="V15" s="38"/>
      <c r="W15" s="38"/>
      <c r="X15" s="39"/>
    </row>
    <row r="16" spans="3:24">
      <c r="C16" s="40"/>
      <c r="D16" s="38"/>
      <c r="E16" s="38"/>
      <c r="F16" s="38"/>
      <c r="G16" s="38"/>
      <c r="H16" s="39"/>
      <c r="K16" s="40"/>
      <c r="L16" s="38"/>
      <c r="M16" s="38"/>
      <c r="N16" s="38"/>
      <c r="O16" s="38"/>
      <c r="P16" s="39"/>
      <c r="S16" s="40"/>
      <c r="T16" s="38"/>
      <c r="U16" s="38"/>
      <c r="V16" s="38"/>
      <c r="W16" s="38"/>
      <c r="X16" s="39"/>
    </row>
    <row r="17" spans="3:24">
      <c r="C17" s="40"/>
      <c r="D17" s="38"/>
      <c r="E17" s="38"/>
      <c r="F17" s="38"/>
      <c r="G17" s="38"/>
      <c r="H17" s="39"/>
      <c r="K17" s="40"/>
      <c r="L17" s="38"/>
      <c r="M17" s="38"/>
      <c r="N17" s="38"/>
      <c r="O17" s="38"/>
      <c r="P17" s="39"/>
      <c r="S17" s="40"/>
      <c r="T17" s="38"/>
      <c r="U17" s="38"/>
      <c r="V17" s="38"/>
      <c r="W17" s="38"/>
      <c r="X17" s="39"/>
    </row>
    <row r="18" spans="3:24">
      <c r="C18" s="40"/>
      <c r="D18" s="38"/>
      <c r="E18" s="38"/>
      <c r="F18" s="38"/>
      <c r="G18" s="38"/>
      <c r="H18" s="39"/>
      <c r="K18" s="40"/>
      <c r="L18" s="38"/>
      <c r="M18" s="38"/>
      <c r="N18" s="38"/>
      <c r="O18" s="38"/>
      <c r="P18" s="39"/>
      <c r="S18" s="40"/>
      <c r="T18" s="38"/>
      <c r="U18" s="38"/>
      <c r="V18" s="38"/>
      <c r="W18" s="38"/>
      <c r="X18" s="39"/>
    </row>
    <row r="19" spans="3:24" ht="15.75" customHeight="1">
      <c r="C19" s="41"/>
      <c r="D19" s="42"/>
      <c r="E19" s="42"/>
      <c r="F19" s="42"/>
      <c r="G19" s="42"/>
      <c r="H19" s="43"/>
      <c r="K19" s="41"/>
      <c r="L19" s="42"/>
      <c r="M19" s="42"/>
      <c r="N19" s="42"/>
      <c r="O19" s="42"/>
      <c r="P19" s="43"/>
      <c r="S19" s="41"/>
      <c r="T19" s="42"/>
      <c r="U19" s="42"/>
      <c r="V19" s="42"/>
      <c r="W19" s="42"/>
      <c r="X19" s="43"/>
    </row>
    <row r="22" spans="3:24" ht="15.75" customHeight="1"/>
    <row r="23" spans="3:24">
      <c r="C23" s="44" t="s">
        <v>3</v>
      </c>
      <c r="D23" s="45"/>
      <c r="E23" s="45"/>
      <c r="F23" s="45"/>
      <c r="G23" s="45"/>
      <c r="H23" s="46"/>
      <c r="K23" s="44" t="s">
        <v>4</v>
      </c>
      <c r="L23" s="45"/>
      <c r="M23" s="45"/>
      <c r="N23" s="45"/>
      <c r="O23" s="45"/>
      <c r="P23" s="46"/>
      <c r="S23" s="44" t="s">
        <v>2</v>
      </c>
      <c r="T23" s="45"/>
      <c r="U23" s="45"/>
      <c r="V23" s="45"/>
      <c r="W23" s="45"/>
      <c r="X23" s="46"/>
    </row>
    <row r="24" spans="3:24">
      <c r="C24" s="40"/>
      <c r="D24" s="38"/>
      <c r="E24" s="38"/>
      <c r="F24" s="38"/>
      <c r="G24" s="38"/>
      <c r="H24" s="39"/>
      <c r="K24" s="40"/>
      <c r="L24" s="38"/>
      <c r="M24" s="38"/>
      <c r="N24" s="38"/>
      <c r="O24" s="38"/>
      <c r="P24" s="39"/>
      <c r="S24" s="40"/>
      <c r="T24" s="38"/>
      <c r="U24" s="38"/>
      <c r="V24" s="38"/>
      <c r="W24" s="38"/>
      <c r="X24" s="39"/>
    </row>
    <row r="25" spans="3:24" ht="15.75" customHeight="1">
      <c r="C25" s="37">
        <f>COUNTIF('Flujo de Compra'!G:G,"Si")+COUNTIF('Gestión de Usuario'!G:G,"Si")+COUNTIF(Perfil!G:G,"Si")+COUNTIF(Credenciales!G:G,"Si")+COUNTIF(Videollamadas!G:G,"Si")+COUNTIF(Reintegros!G:G,"Si")</f>
        <v>140</v>
      </c>
      <c r="D25" s="38"/>
      <c r="E25" s="38"/>
      <c r="F25" s="38"/>
      <c r="G25" s="38"/>
      <c r="H25" s="39"/>
      <c r="K25" s="37">
        <f>COUNTIFS('Flujo de Compra'!G:G,"Si",'Flujo de Compra'!H:H,"Si")+COUNTIFS('Gestión de Usuario'!G:G,"Si",'Gestión de Usuario'!H:H,"Si")+COUNTIFS(Perfil!G:G,"Si",Perfil!H:H,"Si")+COUNTIFS(Credenciales!G:G,"Si",Credenciales!H:H,"Si")+COUNTIFS(Videollamadas!G:G,"Si",Videollamadas!H:H,"Si")+COUNTIFS(Reintegros!G:G,"Si",Reintegros!H:H,"Si")+COUNTIFS(Misceláneas!G:G,"Si",Misceláneas!H:H,"Si")</f>
        <v>109</v>
      </c>
      <c r="L25" s="38"/>
      <c r="M25" s="38"/>
      <c r="N25" s="38"/>
      <c r="O25" s="38"/>
      <c r="P25" s="39"/>
      <c r="S25" s="48">
        <f>K25/C25</f>
        <v>0.77857142857142858</v>
      </c>
      <c r="T25" s="38"/>
      <c r="U25" s="38"/>
      <c r="V25" s="38"/>
      <c r="W25" s="38"/>
      <c r="X25" s="39"/>
    </row>
    <row r="26" spans="3:24">
      <c r="C26" s="40"/>
      <c r="D26" s="38"/>
      <c r="E26" s="38"/>
      <c r="F26" s="38"/>
      <c r="G26" s="38"/>
      <c r="H26" s="39"/>
      <c r="K26" s="40"/>
      <c r="L26" s="38"/>
      <c r="M26" s="38"/>
      <c r="N26" s="38"/>
      <c r="O26" s="38"/>
      <c r="P26" s="39"/>
      <c r="S26" s="40"/>
      <c r="T26" s="38"/>
      <c r="U26" s="38"/>
      <c r="V26" s="38"/>
      <c r="W26" s="38"/>
      <c r="X26" s="39"/>
    </row>
    <row r="27" spans="3:24">
      <c r="C27" s="40"/>
      <c r="D27" s="38"/>
      <c r="E27" s="38"/>
      <c r="F27" s="38"/>
      <c r="G27" s="38"/>
      <c r="H27" s="39"/>
      <c r="K27" s="40"/>
      <c r="L27" s="38"/>
      <c r="M27" s="38"/>
      <c r="N27" s="38"/>
      <c r="O27" s="38"/>
      <c r="P27" s="39"/>
      <c r="S27" s="40"/>
      <c r="T27" s="38"/>
      <c r="U27" s="38"/>
      <c r="V27" s="38"/>
      <c r="W27" s="38"/>
      <c r="X27" s="39"/>
    </row>
    <row r="28" spans="3:24">
      <c r="C28" s="40"/>
      <c r="D28" s="38"/>
      <c r="E28" s="38"/>
      <c r="F28" s="38"/>
      <c r="G28" s="38"/>
      <c r="H28" s="39"/>
      <c r="K28" s="40"/>
      <c r="L28" s="38"/>
      <c r="M28" s="38"/>
      <c r="N28" s="38"/>
      <c r="O28" s="38"/>
      <c r="P28" s="39"/>
      <c r="S28" s="40"/>
      <c r="T28" s="38"/>
      <c r="U28" s="38"/>
      <c r="V28" s="38"/>
      <c r="W28" s="38"/>
      <c r="X28" s="39"/>
    </row>
    <row r="29" spans="3:24">
      <c r="C29" s="40"/>
      <c r="D29" s="38"/>
      <c r="E29" s="38"/>
      <c r="F29" s="38"/>
      <c r="G29" s="38"/>
      <c r="H29" s="39"/>
      <c r="K29" s="40"/>
      <c r="L29" s="38"/>
      <c r="M29" s="38"/>
      <c r="N29" s="38"/>
      <c r="O29" s="38"/>
      <c r="P29" s="39"/>
      <c r="S29" s="40"/>
      <c r="T29" s="38"/>
      <c r="U29" s="38"/>
      <c r="V29" s="38"/>
      <c r="W29" s="38"/>
      <c r="X29" s="39"/>
    </row>
    <row r="30" spans="3:24">
      <c r="C30" s="40"/>
      <c r="D30" s="38"/>
      <c r="E30" s="38"/>
      <c r="F30" s="38"/>
      <c r="G30" s="38"/>
      <c r="H30" s="39"/>
      <c r="K30" s="40"/>
      <c r="L30" s="38"/>
      <c r="M30" s="38"/>
      <c r="N30" s="38"/>
      <c r="O30" s="38"/>
      <c r="P30" s="39"/>
      <c r="S30" s="40"/>
      <c r="T30" s="38"/>
      <c r="U30" s="38"/>
      <c r="V30" s="38"/>
      <c r="W30" s="38"/>
      <c r="X30" s="39"/>
    </row>
    <row r="31" spans="3:24">
      <c r="C31" s="40"/>
      <c r="D31" s="38"/>
      <c r="E31" s="38"/>
      <c r="F31" s="38"/>
      <c r="G31" s="38"/>
      <c r="H31" s="39"/>
      <c r="K31" s="40"/>
      <c r="L31" s="38"/>
      <c r="M31" s="38"/>
      <c r="N31" s="38"/>
      <c r="O31" s="38"/>
      <c r="P31" s="39"/>
      <c r="S31" s="40"/>
      <c r="T31" s="38"/>
      <c r="U31" s="38"/>
      <c r="V31" s="38"/>
      <c r="W31" s="38"/>
      <c r="X31" s="39"/>
    </row>
    <row r="32" spans="3:24">
      <c r="C32" s="40"/>
      <c r="D32" s="38"/>
      <c r="E32" s="38"/>
      <c r="F32" s="38"/>
      <c r="G32" s="38"/>
      <c r="H32" s="39"/>
      <c r="K32" s="40"/>
      <c r="L32" s="38"/>
      <c r="M32" s="38"/>
      <c r="N32" s="38"/>
      <c r="O32" s="38"/>
      <c r="P32" s="39"/>
      <c r="S32" s="40"/>
      <c r="T32" s="38"/>
      <c r="U32" s="38"/>
      <c r="V32" s="38"/>
      <c r="W32" s="38"/>
      <c r="X32" s="39"/>
    </row>
    <row r="33" spans="3:24">
      <c r="C33" s="40"/>
      <c r="D33" s="38"/>
      <c r="E33" s="38"/>
      <c r="F33" s="38"/>
      <c r="G33" s="38"/>
      <c r="H33" s="39"/>
      <c r="K33" s="40"/>
      <c r="L33" s="38"/>
      <c r="M33" s="38"/>
      <c r="N33" s="38"/>
      <c r="O33" s="38"/>
      <c r="P33" s="39"/>
      <c r="S33" s="40"/>
      <c r="T33" s="38"/>
      <c r="U33" s="38"/>
      <c r="V33" s="38"/>
      <c r="W33" s="38"/>
      <c r="X33" s="39"/>
    </row>
    <row r="34" spans="3:24">
      <c r="C34" s="40"/>
      <c r="D34" s="38"/>
      <c r="E34" s="38"/>
      <c r="F34" s="38"/>
      <c r="G34" s="38"/>
      <c r="H34" s="39"/>
      <c r="K34" s="40"/>
      <c r="L34" s="38"/>
      <c r="M34" s="38"/>
      <c r="N34" s="38"/>
      <c r="O34" s="38"/>
      <c r="P34" s="39"/>
      <c r="S34" s="40"/>
      <c r="T34" s="38"/>
      <c r="U34" s="38"/>
      <c r="V34" s="38"/>
      <c r="W34" s="38"/>
      <c r="X34" s="39"/>
    </row>
    <row r="35" spans="3:24">
      <c r="C35" s="40"/>
      <c r="D35" s="38"/>
      <c r="E35" s="38"/>
      <c r="F35" s="38"/>
      <c r="G35" s="38"/>
      <c r="H35" s="39"/>
      <c r="K35" s="40"/>
      <c r="L35" s="38"/>
      <c r="M35" s="38"/>
      <c r="N35" s="38"/>
      <c r="O35" s="38"/>
      <c r="P35" s="39"/>
      <c r="S35" s="40"/>
      <c r="T35" s="38"/>
      <c r="U35" s="38"/>
      <c r="V35" s="38"/>
      <c r="W35" s="38"/>
      <c r="X35" s="39"/>
    </row>
    <row r="36" spans="3:24">
      <c r="C36" s="40"/>
      <c r="D36" s="38"/>
      <c r="E36" s="38"/>
      <c r="F36" s="38"/>
      <c r="G36" s="38"/>
      <c r="H36" s="39"/>
      <c r="K36" s="40"/>
      <c r="L36" s="38"/>
      <c r="M36" s="38"/>
      <c r="N36" s="38"/>
      <c r="O36" s="38"/>
      <c r="P36" s="39"/>
      <c r="S36" s="40"/>
      <c r="T36" s="38"/>
      <c r="U36" s="38"/>
      <c r="V36" s="38"/>
      <c r="W36" s="38"/>
      <c r="X36" s="39"/>
    </row>
    <row r="37" spans="3:24">
      <c r="C37" s="40"/>
      <c r="D37" s="38"/>
      <c r="E37" s="38"/>
      <c r="F37" s="38"/>
      <c r="G37" s="38"/>
      <c r="H37" s="39"/>
      <c r="K37" s="40"/>
      <c r="L37" s="38"/>
      <c r="M37" s="38"/>
      <c r="N37" s="38"/>
      <c r="O37" s="38"/>
      <c r="P37" s="39"/>
      <c r="S37" s="40"/>
      <c r="T37" s="38"/>
      <c r="U37" s="38"/>
      <c r="V37" s="38"/>
      <c r="W37" s="38"/>
      <c r="X37" s="39"/>
    </row>
    <row r="38" spans="3:24">
      <c r="C38" s="40"/>
      <c r="D38" s="38"/>
      <c r="E38" s="38"/>
      <c r="F38" s="38"/>
      <c r="G38" s="38"/>
      <c r="H38" s="39"/>
      <c r="K38" s="40"/>
      <c r="L38" s="38"/>
      <c r="M38" s="38"/>
      <c r="N38" s="38"/>
      <c r="O38" s="38"/>
      <c r="P38" s="39"/>
      <c r="S38" s="40"/>
      <c r="T38" s="38"/>
      <c r="U38" s="38"/>
      <c r="V38" s="38"/>
      <c r="W38" s="38"/>
      <c r="X38" s="39"/>
    </row>
    <row r="39" spans="3:24" ht="15.75" customHeight="1">
      <c r="C39" s="41"/>
      <c r="D39" s="42"/>
      <c r="E39" s="42"/>
      <c r="F39" s="42"/>
      <c r="G39" s="42"/>
      <c r="H39" s="43"/>
      <c r="K39" s="41"/>
      <c r="L39" s="42"/>
      <c r="M39" s="42"/>
      <c r="N39" s="42"/>
      <c r="O39" s="42"/>
      <c r="P39" s="43"/>
      <c r="S39" s="41"/>
      <c r="T39" s="42"/>
      <c r="U39" s="42"/>
      <c r="V39" s="42"/>
      <c r="W39" s="42"/>
      <c r="X39" s="43"/>
    </row>
    <row r="41" spans="3:24" ht="15.75" customHeight="1"/>
    <row r="42" spans="3:24">
      <c r="C42" s="44" t="s">
        <v>5</v>
      </c>
      <c r="D42" s="45"/>
      <c r="E42" s="45"/>
      <c r="F42" s="45"/>
      <c r="G42" s="45"/>
      <c r="H42" s="46"/>
    </row>
    <row r="43" spans="3:24">
      <c r="C43" s="40"/>
      <c r="D43" s="38"/>
      <c r="E43" s="38"/>
      <c r="F43" s="38"/>
      <c r="G43" s="38"/>
      <c r="H43" s="39"/>
      <c r="K43" s="28"/>
      <c r="L43" s="28"/>
      <c r="M43" s="28"/>
      <c r="N43" s="28"/>
      <c r="O43" s="28"/>
      <c r="P43" s="28"/>
    </row>
    <row r="44" spans="3:24" ht="21" customHeight="1">
      <c r="C44" s="48">
        <f>C25/C5</f>
        <v>0.55118110236220474</v>
      </c>
      <c r="D44" s="38"/>
      <c r="E44" s="38"/>
      <c r="F44" s="38"/>
      <c r="G44" s="38"/>
      <c r="H44" s="39"/>
      <c r="K44" s="28"/>
      <c r="L44" s="47" t="s">
        <v>6</v>
      </c>
      <c r="M44" s="38"/>
      <c r="N44" s="38"/>
      <c r="O44" s="38"/>
      <c r="P44" s="29"/>
    </row>
    <row r="45" spans="3:24">
      <c r="C45" s="40"/>
      <c r="D45" s="38"/>
      <c r="E45" s="38"/>
      <c r="F45" s="38"/>
      <c r="G45" s="38"/>
      <c r="H45" s="39"/>
      <c r="K45" s="28"/>
      <c r="L45" s="30"/>
      <c r="M45" s="30"/>
      <c r="N45" s="30"/>
      <c r="O45" s="30"/>
      <c r="P45" s="29"/>
    </row>
    <row r="46" spans="3:24">
      <c r="C46" s="40"/>
      <c r="D46" s="38"/>
      <c r="E46" s="38"/>
      <c r="F46" s="38"/>
      <c r="G46" s="38"/>
      <c r="H46" s="39"/>
      <c r="K46" s="28"/>
      <c r="L46" s="31"/>
      <c r="M46" s="28" t="s">
        <v>7</v>
      </c>
      <c r="N46" s="28"/>
      <c r="O46" s="28"/>
      <c r="P46" s="28"/>
    </row>
    <row r="47" spans="3:24">
      <c r="C47" s="40"/>
      <c r="D47" s="38"/>
      <c r="E47" s="38"/>
      <c r="F47" s="38"/>
      <c r="G47" s="38"/>
      <c r="H47" s="39"/>
      <c r="K47" s="28"/>
      <c r="L47" s="32"/>
      <c r="M47" s="28" t="s">
        <v>8</v>
      </c>
      <c r="N47" s="28"/>
      <c r="O47" s="28"/>
      <c r="P47" s="28"/>
    </row>
    <row r="48" spans="3:24">
      <c r="C48" s="40"/>
      <c r="D48" s="38"/>
      <c r="E48" s="38"/>
      <c r="F48" s="38"/>
      <c r="G48" s="38"/>
      <c r="H48" s="39"/>
      <c r="K48" s="28"/>
      <c r="L48" s="33"/>
      <c r="M48" s="28" t="s">
        <v>9</v>
      </c>
      <c r="N48" s="28"/>
      <c r="O48" s="28"/>
      <c r="P48" s="28"/>
    </row>
    <row r="49" spans="3:16">
      <c r="C49" s="40"/>
      <c r="D49" s="38"/>
      <c r="E49" s="38"/>
      <c r="F49" s="38"/>
      <c r="G49" s="38"/>
      <c r="H49" s="39"/>
      <c r="K49" s="28"/>
      <c r="L49" s="34"/>
      <c r="M49" s="28" t="s">
        <v>10</v>
      </c>
      <c r="N49" s="28"/>
      <c r="O49" s="28"/>
      <c r="P49" s="28"/>
    </row>
    <row r="50" spans="3:16">
      <c r="C50" s="40"/>
      <c r="D50" s="38"/>
      <c r="E50" s="38"/>
      <c r="F50" s="38"/>
      <c r="G50" s="38"/>
      <c r="H50" s="39"/>
      <c r="K50" s="28"/>
      <c r="L50" s="35"/>
      <c r="M50" s="28" t="s">
        <v>11</v>
      </c>
      <c r="N50" s="28"/>
      <c r="O50" s="28"/>
      <c r="P50" s="28"/>
    </row>
    <row r="51" spans="3:16">
      <c r="C51" s="40"/>
      <c r="D51" s="38"/>
      <c r="E51" s="38"/>
      <c r="F51" s="38"/>
      <c r="G51" s="38"/>
      <c r="H51" s="39"/>
      <c r="K51" s="28"/>
      <c r="L51" s="28"/>
      <c r="M51" s="28"/>
      <c r="N51" s="28"/>
      <c r="O51" s="28"/>
      <c r="P51" s="28"/>
    </row>
    <row r="52" spans="3:16">
      <c r="C52" s="40"/>
      <c r="D52" s="38"/>
      <c r="E52" s="38"/>
      <c r="F52" s="38"/>
      <c r="G52" s="38"/>
      <c r="H52" s="39"/>
    </row>
    <row r="53" spans="3:16">
      <c r="C53" s="40"/>
      <c r="D53" s="38"/>
      <c r="E53" s="38"/>
      <c r="F53" s="38"/>
      <c r="G53" s="38"/>
      <c r="H53" s="39"/>
    </row>
    <row r="54" spans="3:16">
      <c r="C54" s="40"/>
      <c r="D54" s="38"/>
      <c r="E54" s="38"/>
      <c r="F54" s="38"/>
      <c r="G54" s="38"/>
      <c r="H54" s="39"/>
    </row>
    <row r="55" spans="3:16">
      <c r="C55" s="40"/>
      <c r="D55" s="38"/>
      <c r="E55" s="38"/>
      <c r="F55" s="38"/>
      <c r="G55" s="38"/>
      <c r="H55" s="39"/>
    </row>
    <row r="56" spans="3:16">
      <c r="C56" s="40"/>
      <c r="D56" s="38"/>
      <c r="E56" s="38"/>
      <c r="F56" s="38"/>
      <c r="G56" s="38"/>
      <c r="H56" s="39"/>
    </row>
    <row r="57" spans="3:16">
      <c r="C57" s="40"/>
      <c r="D57" s="38"/>
      <c r="E57" s="38"/>
      <c r="F57" s="38"/>
      <c r="G57" s="38"/>
      <c r="H57" s="39"/>
    </row>
    <row r="58" spans="3:16" ht="15.75" customHeight="1">
      <c r="C58" s="41"/>
      <c r="D58" s="42"/>
      <c r="E58" s="42"/>
      <c r="F58" s="42"/>
      <c r="G58" s="42"/>
      <c r="H58" s="43"/>
    </row>
    <row r="62" spans="3:16">
      <c r="C62" s="49" t="s">
        <v>585</v>
      </c>
      <c r="D62" s="49"/>
      <c r="E62" s="49"/>
      <c r="F62" s="49"/>
      <c r="H62" s="49" t="s">
        <v>586</v>
      </c>
      <c r="I62" s="49"/>
      <c r="J62" s="49"/>
      <c r="K62" s="49"/>
      <c r="M62" s="49" t="s">
        <v>587</v>
      </c>
      <c r="N62" s="49"/>
      <c r="O62" s="49"/>
      <c r="P62" s="49"/>
    </row>
    <row r="63" spans="3:16">
      <c r="C63" s="49"/>
      <c r="D63" s="49"/>
      <c r="E63" s="49"/>
      <c r="F63" s="49"/>
      <c r="H63" s="49"/>
      <c r="I63" s="49"/>
      <c r="J63" s="49"/>
      <c r="K63" s="49"/>
      <c r="M63" s="49"/>
      <c r="N63" s="49"/>
      <c r="O63" s="49"/>
      <c r="P63" s="49"/>
    </row>
    <row r="64" spans="3:16">
      <c r="C64" s="50">
        <f>COUNTIF('Flujo de Compra'!I:I,"Si")+COUNTIF('Gestión de Usuario'!I:I,"Si")+COUNTIF(Perfil!J:J,"Si")+COUNTIF(Credenciales!J:J,"Si")+COUNTIF(Videollamadas!J:J,"Si")</f>
        <v>250</v>
      </c>
      <c r="D64" s="50"/>
      <c r="E64" s="50"/>
      <c r="F64" s="50"/>
      <c r="H64" s="50">
        <f>COUNTIF('Flujo de Compra'!H:H,"Si")+COUNTIF('Gestión de Usuario'!H:H,"Si")+COUNTIF(Perfil!H:H,"Si")+COUNTIF(Credenciales!H:H,"Si")+COUNTIF(Videollamadas!H:H,"Si")</f>
        <v>188</v>
      </c>
      <c r="I64" s="50"/>
      <c r="J64" s="50"/>
      <c r="K64" s="50"/>
      <c r="M64" s="51">
        <f t="shared" ref="M64" si="0">H64/C64</f>
        <v>0.752</v>
      </c>
      <c r="N64" s="51"/>
      <c r="O64" s="51"/>
      <c r="P64" s="51"/>
    </row>
    <row r="65" spans="3:16">
      <c r="C65" s="50"/>
      <c r="D65" s="50"/>
      <c r="E65" s="50"/>
      <c r="F65" s="50"/>
      <c r="H65" s="50"/>
      <c r="I65" s="50"/>
      <c r="J65" s="50"/>
      <c r="K65" s="50"/>
      <c r="M65" s="51"/>
      <c r="N65" s="51"/>
      <c r="O65" s="51"/>
      <c r="P65" s="51"/>
    </row>
    <row r="66" spans="3:16">
      <c r="C66" s="50"/>
      <c r="D66" s="50"/>
      <c r="E66" s="50"/>
      <c r="F66" s="50"/>
      <c r="H66" s="50"/>
      <c r="I66" s="50"/>
      <c r="J66" s="50"/>
      <c r="K66" s="50"/>
      <c r="M66" s="51"/>
      <c r="N66" s="51"/>
      <c r="O66" s="51"/>
      <c r="P66" s="51"/>
    </row>
    <row r="69" spans="3:16">
      <c r="C69" s="49" t="s">
        <v>588</v>
      </c>
      <c r="D69" s="49"/>
      <c r="E69" s="49"/>
      <c r="F69" s="49"/>
      <c r="H69" s="49" t="s">
        <v>589</v>
      </c>
      <c r="I69" s="49"/>
      <c r="J69" s="49"/>
      <c r="K69" s="49"/>
      <c r="M69" s="49" t="s">
        <v>587</v>
      </c>
      <c r="N69" s="49"/>
      <c r="O69" s="49"/>
      <c r="P69" s="49"/>
    </row>
    <row r="70" spans="3:16">
      <c r="C70" s="49"/>
      <c r="D70" s="49"/>
      <c r="E70" s="49"/>
      <c r="F70" s="49"/>
      <c r="H70" s="49"/>
      <c r="I70" s="49"/>
      <c r="J70" s="49"/>
      <c r="K70" s="49"/>
      <c r="M70" s="49"/>
      <c r="N70" s="49"/>
      <c r="O70" s="49"/>
      <c r="P70" s="49"/>
    </row>
    <row r="71" spans="3:16">
      <c r="C71" s="50">
        <f>COUNTIF(Perfil!K:K,"Si")+COUNTIF(Credenciales!K:K,"Si")+COUNTIF(Videollamadas!K:K,"Si")</f>
        <v>71</v>
      </c>
      <c r="D71" s="50"/>
      <c r="E71" s="50"/>
      <c r="F71" s="50"/>
      <c r="H71" s="50">
        <f>COUNTIF(Perfil!I:I,"Si")+COUNTIF(Credenciales!I:I,"Si")+COUNTIF(Videollamadas!I:I,"Si")</f>
        <v>60</v>
      </c>
      <c r="I71" s="50"/>
      <c r="J71" s="50"/>
      <c r="K71" s="50"/>
      <c r="M71" s="51">
        <f t="shared" ref="M71" si="1">H71/C71</f>
        <v>0.84507042253521125</v>
      </c>
      <c r="N71" s="51"/>
      <c r="O71" s="51"/>
      <c r="P71" s="51"/>
    </row>
    <row r="72" spans="3:16">
      <c r="C72" s="50"/>
      <c r="D72" s="50"/>
      <c r="E72" s="50"/>
      <c r="F72" s="50"/>
      <c r="H72" s="50"/>
      <c r="I72" s="50"/>
      <c r="J72" s="50"/>
      <c r="K72" s="50"/>
      <c r="M72" s="51"/>
      <c r="N72" s="51"/>
      <c r="O72" s="51"/>
      <c r="P72" s="51"/>
    </row>
    <row r="73" spans="3:16">
      <c r="C73" s="50"/>
      <c r="D73" s="50"/>
      <c r="E73" s="50"/>
      <c r="F73" s="50"/>
      <c r="H73" s="50"/>
      <c r="I73" s="50"/>
      <c r="J73" s="50"/>
      <c r="K73" s="50"/>
      <c r="M73" s="51"/>
      <c r="N73" s="51"/>
      <c r="O73" s="51"/>
      <c r="P73" s="51"/>
    </row>
    <row r="76" spans="3:16">
      <c r="C76" s="36" t="s">
        <v>590</v>
      </c>
    </row>
  </sheetData>
  <mergeCells count="27">
    <mergeCell ref="C69:F70"/>
    <mergeCell ref="C71:F73"/>
    <mergeCell ref="H69:K70"/>
    <mergeCell ref="H71:K73"/>
    <mergeCell ref="M69:P70"/>
    <mergeCell ref="M71:P73"/>
    <mergeCell ref="C62:F63"/>
    <mergeCell ref="C64:F66"/>
    <mergeCell ref="H62:K63"/>
    <mergeCell ref="H64:K66"/>
    <mergeCell ref="M62:P63"/>
    <mergeCell ref="M64:P66"/>
    <mergeCell ref="K5:P19"/>
    <mergeCell ref="K25:P39"/>
    <mergeCell ref="S3:X4"/>
    <mergeCell ref="C5:H19"/>
    <mergeCell ref="L44:O44"/>
    <mergeCell ref="S25:X39"/>
    <mergeCell ref="C44:H58"/>
    <mergeCell ref="S5:X19"/>
    <mergeCell ref="S23:X24"/>
    <mergeCell ref="C23:H24"/>
    <mergeCell ref="K3:P4"/>
    <mergeCell ref="C42:H43"/>
    <mergeCell ref="C3:H4"/>
    <mergeCell ref="C25:H39"/>
    <mergeCell ref="K23:P2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I92"/>
  <sheetViews>
    <sheetView topLeftCell="E1" workbookViewId="0">
      <pane ySplit="1" topLeftCell="A84" activePane="bottomLeft" state="frozen"/>
      <selection pane="bottomLeft" activeCell="I91" sqref="I91"/>
    </sheetView>
  </sheetViews>
  <sheetFormatPr baseColWidth="10" defaultColWidth="9.140625" defaultRowHeight="15"/>
  <cols>
    <col min="1" max="1" width="9.140625" style="12" customWidth="1"/>
    <col min="2" max="2" width="38.7109375" style="6" customWidth="1"/>
    <col min="3" max="3" width="60" style="6" customWidth="1"/>
    <col min="4" max="4" width="31.5703125" style="6" customWidth="1"/>
    <col min="5" max="5" width="50.85546875" style="6" customWidth="1"/>
    <col min="6" max="6" width="36.28515625" style="6" customWidth="1"/>
    <col min="7" max="7" width="15.85546875" style="6" customWidth="1"/>
    <col min="8" max="8" width="14.5703125" style="12" customWidth="1"/>
    <col min="9" max="9" width="14.5703125" style="6" customWidth="1"/>
    <col min="10" max="16384" width="9.140625" style="6"/>
  </cols>
  <sheetData>
    <row r="1" spans="1:9" s="12" customFormat="1" ht="30">
      <c r="A1" s="1" t="s">
        <v>12</v>
      </c>
      <c r="B1" s="1" t="s">
        <v>13</v>
      </c>
      <c r="C1" s="1" t="s">
        <v>14</v>
      </c>
      <c r="D1" s="1" t="s">
        <v>15</v>
      </c>
      <c r="E1" s="1" t="s">
        <v>16</v>
      </c>
      <c r="F1" s="1" t="s">
        <v>17</v>
      </c>
      <c r="G1" s="1" t="s">
        <v>18</v>
      </c>
      <c r="H1" s="1" t="s">
        <v>19</v>
      </c>
      <c r="I1" s="1" t="s">
        <v>582</v>
      </c>
    </row>
    <row r="2" spans="1:9" ht="23.25" customHeight="1">
      <c r="A2" s="52" t="s">
        <v>20</v>
      </c>
      <c r="B2" s="53"/>
      <c r="C2" s="53"/>
      <c r="D2" s="53"/>
      <c r="E2" s="53"/>
      <c r="F2" s="53"/>
      <c r="G2" s="53"/>
      <c r="H2" s="54"/>
      <c r="I2" s="12" t="s">
        <v>27</v>
      </c>
    </row>
    <row r="3" spans="1:9" ht="183" customHeight="1">
      <c r="A3" s="7" t="s">
        <v>21</v>
      </c>
      <c r="B3" s="56" t="s">
        <v>22</v>
      </c>
      <c r="C3" s="18" t="s">
        <v>23</v>
      </c>
      <c r="D3" s="18" t="s">
        <v>24</v>
      </c>
      <c r="E3" s="18" t="s">
        <v>25</v>
      </c>
      <c r="F3" s="18" t="s">
        <v>26</v>
      </c>
      <c r="G3" s="12" t="s">
        <v>27</v>
      </c>
      <c r="H3" s="12" t="s">
        <v>28</v>
      </c>
      <c r="I3" s="12" t="s">
        <v>27</v>
      </c>
    </row>
    <row r="4" spans="1:9" ht="183" customHeight="1">
      <c r="A4" s="7" t="s">
        <v>29</v>
      </c>
      <c r="B4" s="53"/>
      <c r="C4" s="18" t="s">
        <v>30</v>
      </c>
      <c r="D4" s="18" t="s">
        <v>31</v>
      </c>
      <c r="E4" s="18" t="s">
        <v>25</v>
      </c>
      <c r="F4" s="18" t="s">
        <v>26</v>
      </c>
      <c r="G4" s="12" t="s">
        <v>27</v>
      </c>
      <c r="H4" s="12" t="s">
        <v>28</v>
      </c>
      <c r="I4" s="12" t="s">
        <v>27</v>
      </c>
    </row>
    <row r="5" spans="1:9" ht="229.5" customHeight="1">
      <c r="A5" s="7" t="s">
        <v>32</v>
      </c>
      <c r="B5" s="53"/>
      <c r="C5" s="18" t="s">
        <v>33</v>
      </c>
      <c r="D5" s="18" t="s">
        <v>34</v>
      </c>
      <c r="E5" s="18" t="s">
        <v>35</v>
      </c>
      <c r="F5" s="18" t="s">
        <v>36</v>
      </c>
      <c r="G5" s="12" t="s">
        <v>27</v>
      </c>
      <c r="H5" s="12" t="s">
        <v>28</v>
      </c>
      <c r="I5" s="12" t="s">
        <v>27</v>
      </c>
    </row>
    <row r="6" spans="1:9" ht="229.5" customHeight="1">
      <c r="A6" s="7" t="s">
        <v>37</v>
      </c>
      <c r="B6" s="53"/>
      <c r="C6" s="18" t="s">
        <v>38</v>
      </c>
      <c r="D6" s="18" t="s">
        <v>39</v>
      </c>
      <c r="E6" s="18" t="s">
        <v>35</v>
      </c>
      <c r="F6" s="18" t="s">
        <v>36</v>
      </c>
      <c r="G6" s="12" t="s">
        <v>27</v>
      </c>
      <c r="H6" s="12" t="s">
        <v>28</v>
      </c>
      <c r="I6" s="12" t="s">
        <v>27</v>
      </c>
    </row>
    <row r="7" spans="1:9" ht="183" customHeight="1">
      <c r="A7" s="7" t="s">
        <v>40</v>
      </c>
      <c r="B7" s="53"/>
      <c r="C7" s="18" t="s">
        <v>41</v>
      </c>
      <c r="D7" s="18" t="s">
        <v>24</v>
      </c>
      <c r="E7" s="18" t="s">
        <v>42</v>
      </c>
      <c r="F7" s="18" t="s">
        <v>26</v>
      </c>
      <c r="G7" s="12" t="s">
        <v>27</v>
      </c>
      <c r="H7" s="12" t="s">
        <v>28</v>
      </c>
      <c r="I7" s="12" t="s">
        <v>27</v>
      </c>
    </row>
    <row r="8" spans="1:9" ht="183" customHeight="1">
      <c r="A8" s="7" t="s">
        <v>43</v>
      </c>
      <c r="B8" s="53"/>
      <c r="C8" s="18" t="s">
        <v>44</v>
      </c>
      <c r="D8" s="18" t="s">
        <v>31</v>
      </c>
      <c r="E8" s="18" t="s">
        <v>42</v>
      </c>
      <c r="F8" s="18" t="s">
        <v>26</v>
      </c>
      <c r="G8" s="12" t="s">
        <v>27</v>
      </c>
      <c r="H8" s="12" t="s">
        <v>28</v>
      </c>
      <c r="I8" s="12" t="s">
        <v>27</v>
      </c>
    </row>
    <row r="9" spans="1:9" ht="229.5" customHeight="1">
      <c r="A9" s="7" t="s">
        <v>45</v>
      </c>
      <c r="B9" s="53"/>
      <c r="C9" s="18" t="s">
        <v>46</v>
      </c>
      <c r="D9" s="18" t="s">
        <v>47</v>
      </c>
      <c r="E9" s="18" t="s">
        <v>48</v>
      </c>
      <c r="F9" s="18" t="s">
        <v>36</v>
      </c>
      <c r="G9" s="12" t="s">
        <v>27</v>
      </c>
      <c r="H9" s="12" t="s">
        <v>28</v>
      </c>
      <c r="I9" s="12" t="s">
        <v>27</v>
      </c>
    </row>
    <row r="10" spans="1:9" ht="229.5" customHeight="1">
      <c r="A10" s="7" t="s">
        <v>49</v>
      </c>
      <c r="B10" s="53"/>
      <c r="C10" s="18" t="s">
        <v>50</v>
      </c>
      <c r="D10" s="18" t="s">
        <v>39</v>
      </c>
      <c r="E10" s="18" t="s">
        <v>48</v>
      </c>
      <c r="F10" s="18" t="s">
        <v>36</v>
      </c>
      <c r="G10" s="12" t="s">
        <v>27</v>
      </c>
      <c r="H10" s="12" t="s">
        <v>28</v>
      </c>
      <c r="I10" s="12" t="s">
        <v>27</v>
      </c>
    </row>
    <row r="11" spans="1:9">
      <c r="A11" s="19"/>
      <c r="B11" s="20"/>
      <c r="C11" s="20"/>
      <c r="D11" s="20"/>
      <c r="E11" s="20"/>
      <c r="F11" s="20"/>
      <c r="G11" s="19"/>
      <c r="H11" s="19"/>
    </row>
    <row r="12" spans="1:9" ht="106.5" customHeight="1">
      <c r="A12" s="10" t="s">
        <v>21</v>
      </c>
      <c r="B12" s="55" t="s">
        <v>51</v>
      </c>
      <c r="C12" s="22" t="s">
        <v>52</v>
      </c>
      <c r="D12" s="22" t="s">
        <v>24</v>
      </c>
      <c r="E12" s="22" t="s">
        <v>53</v>
      </c>
      <c r="F12" s="22" t="s">
        <v>54</v>
      </c>
      <c r="G12" s="12" t="s">
        <v>27</v>
      </c>
      <c r="H12" s="12" t="s">
        <v>27</v>
      </c>
      <c r="I12" s="12" t="s">
        <v>27</v>
      </c>
    </row>
    <row r="13" spans="1:9" ht="121.5" customHeight="1">
      <c r="A13" s="10" t="s">
        <v>29</v>
      </c>
      <c r="B13" s="53"/>
      <c r="C13" s="22" t="s">
        <v>55</v>
      </c>
      <c r="D13" s="22" t="s">
        <v>24</v>
      </c>
      <c r="E13" s="22" t="s">
        <v>56</v>
      </c>
      <c r="F13" s="22" t="s">
        <v>57</v>
      </c>
      <c r="G13" s="12" t="s">
        <v>27</v>
      </c>
      <c r="H13" s="12" t="s">
        <v>28</v>
      </c>
      <c r="I13" s="12" t="s">
        <v>27</v>
      </c>
    </row>
    <row r="14" spans="1:9">
      <c r="A14" s="19"/>
      <c r="B14" s="20"/>
      <c r="C14" s="20"/>
      <c r="D14" s="20"/>
      <c r="E14" s="20"/>
      <c r="F14" s="20"/>
      <c r="G14" s="19"/>
      <c r="H14" s="19"/>
    </row>
    <row r="15" spans="1:9" ht="152.25" customHeight="1">
      <c r="A15" s="7" t="s">
        <v>21</v>
      </c>
      <c r="B15" s="56" t="s">
        <v>58</v>
      </c>
      <c r="C15" s="18" t="s">
        <v>59</v>
      </c>
      <c r="D15" s="18" t="s">
        <v>24</v>
      </c>
      <c r="E15" s="18" t="s">
        <v>60</v>
      </c>
      <c r="F15" s="18" t="s">
        <v>61</v>
      </c>
      <c r="G15" s="12" t="s">
        <v>27</v>
      </c>
      <c r="H15" s="12" t="s">
        <v>28</v>
      </c>
      <c r="I15" s="12" t="s">
        <v>27</v>
      </c>
    </row>
    <row r="16" spans="1:9" ht="152.25" customHeight="1">
      <c r="A16" s="7" t="s">
        <v>29</v>
      </c>
      <c r="B16" s="53"/>
      <c r="C16" s="18" t="s">
        <v>62</v>
      </c>
      <c r="D16" s="18" t="s">
        <v>63</v>
      </c>
      <c r="E16" s="18" t="s">
        <v>64</v>
      </c>
      <c r="F16" s="18" t="s">
        <v>65</v>
      </c>
      <c r="G16" s="12" t="s">
        <v>27</v>
      </c>
      <c r="H16" s="12" t="s">
        <v>27</v>
      </c>
      <c r="I16" s="12" t="s">
        <v>27</v>
      </c>
    </row>
    <row r="17" spans="1:9" ht="152.25" customHeight="1">
      <c r="A17" s="7" t="s">
        <v>32</v>
      </c>
      <c r="B17" s="53"/>
      <c r="C17" s="18" t="s">
        <v>66</v>
      </c>
      <c r="D17" s="18" t="s">
        <v>67</v>
      </c>
      <c r="E17" s="18" t="s">
        <v>68</v>
      </c>
      <c r="F17" s="18" t="s">
        <v>61</v>
      </c>
      <c r="G17" s="12" t="s">
        <v>27</v>
      </c>
      <c r="H17" s="12" t="s">
        <v>27</v>
      </c>
      <c r="I17" s="12" t="s">
        <v>27</v>
      </c>
    </row>
    <row r="18" spans="1:9">
      <c r="A18" s="19"/>
      <c r="B18" s="20"/>
      <c r="C18" s="20"/>
      <c r="D18" s="20"/>
      <c r="E18" s="20"/>
      <c r="F18" s="20"/>
      <c r="G18" s="19"/>
      <c r="H18" s="19"/>
    </row>
    <row r="19" spans="1:9" ht="91.5" customHeight="1">
      <c r="A19" s="10" t="s">
        <v>21</v>
      </c>
      <c r="B19" s="55" t="s">
        <v>69</v>
      </c>
      <c r="C19" s="22" t="s">
        <v>70</v>
      </c>
      <c r="D19" s="22" t="s">
        <v>24</v>
      </c>
      <c r="E19" s="22" t="s">
        <v>71</v>
      </c>
      <c r="F19" s="22" t="s">
        <v>72</v>
      </c>
      <c r="G19" s="12" t="s">
        <v>27</v>
      </c>
      <c r="H19" s="12" t="s">
        <v>27</v>
      </c>
      <c r="I19" s="12" t="s">
        <v>27</v>
      </c>
    </row>
    <row r="20" spans="1:9" ht="152.25" customHeight="1">
      <c r="A20" s="10" t="s">
        <v>29</v>
      </c>
      <c r="B20" s="53"/>
      <c r="C20" s="22" t="s">
        <v>73</v>
      </c>
      <c r="D20" s="22" t="s">
        <v>74</v>
      </c>
      <c r="E20" s="22" t="s">
        <v>75</v>
      </c>
      <c r="F20" s="22" t="s">
        <v>76</v>
      </c>
      <c r="G20" s="12" t="s">
        <v>27</v>
      </c>
      <c r="H20" s="12" t="s">
        <v>28</v>
      </c>
      <c r="I20" s="12" t="s">
        <v>27</v>
      </c>
    </row>
    <row r="21" spans="1:9" ht="121.5" customHeight="1">
      <c r="A21" s="10" t="s">
        <v>32</v>
      </c>
      <c r="B21" s="53"/>
      <c r="C21" s="22" t="s">
        <v>77</v>
      </c>
      <c r="D21" s="22" t="s">
        <v>74</v>
      </c>
      <c r="E21" s="22" t="s">
        <v>78</v>
      </c>
      <c r="F21" s="22" t="s">
        <v>79</v>
      </c>
      <c r="G21" s="12" t="s">
        <v>28</v>
      </c>
      <c r="H21" s="12" t="s">
        <v>28</v>
      </c>
      <c r="I21" s="12" t="s">
        <v>27</v>
      </c>
    </row>
    <row r="22" spans="1:9" ht="152.25" customHeight="1">
      <c r="A22" s="10" t="s">
        <v>37</v>
      </c>
      <c r="B22" s="53"/>
      <c r="C22" s="22" t="s">
        <v>80</v>
      </c>
      <c r="D22" s="22" t="s">
        <v>74</v>
      </c>
      <c r="E22" s="22" t="s">
        <v>81</v>
      </c>
      <c r="F22" s="22" t="s">
        <v>76</v>
      </c>
      <c r="G22" s="12" t="s">
        <v>28</v>
      </c>
      <c r="H22" s="12" t="s">
        <v>28</v>
      </c>
      <c r="I22" s="12" t="s">
        <v>27</v>
      </c>
    </row>
    <row r="23" spans="1:9" ht="106.5" customHeight="1">
      <c r="A23" s="10" t="s">
        <v>40</v>
      </c>
      <c r="B23" s="53"/>
      <c r="C23" s="22" t="s">
        <v>82</v>
      </c>
      <c r="D23" s="22" t="s">
        <v>83</v>
      </c>
      <c r="E23" s="22" t="s">
        <v>84</v>
      </c>
      <c r="F23" s="22" t="s">
        <v>85</v>
      </c>
      <c r="G23" s="12" t="s">
        <v>28</v>
      </c>
      <c r="H23" s="12" t="s">
        <v>28</v>
      </c>
      <c r="I23" s="12" t="s">
        <v>27</v>
      </c>
    </row>
    <row r="24" spans="1:9" ht="76.5" customHeight="1">
      <c r="A24" s="10" t="s">
        <v>43</v>
      </c>
      <c r="B24" s="53"/>
      <c r="C24" s="26" t="s">
        <v>86</v>
      </c>
      <c r="D24" s="22" t="s">
        <v>74</v>
      </c>
      <c r="E24" s="22" t="s">
        <v>87</v>
      </c>
      <c r="F24" s="22" t="s">
        <v>85</v>
      </c>
      <c r="G24" s="12" t="s">
        <v>28</v>
      </c>
      <c r="H24" s="12" t="s">
        <v>28</v>
      </c>
      <c r="I24" s="12" t="s">
        <v>27</v>
      </c>
    </row>
    <row r="25" spans="1:9" ht="76.5" customHeight="1">
      <c r="A25" s="10" t="s">
        <v>45</v>
      </c>
      <c r="B25" s="53"/>
      <c r="C25" s="22" t="s">
        <v>88</v>
      </c>
      <c r="D25" s="22" t="s">
        <v>74</v>
      </c>
      <c r="E25" s="22" t="s">
        <v>89</v>
      </c>
      <c r="F25" s="22" t="s">
        <v>85</v>
      </c>
      <c r="G25" s="12" t="s">
        <v>28</v>
      </c>
      <c r="H25" s="12" t="s">
        <v>28</v>
      </c>
      <c r="I25" s="12" t="s">
        <v>27</v>
      </c>
    </row>
    <row r="26" spans="1:9">
      <c r="A26" s="19"/>
      <c r="B26" s="20"/>
      <c r="C26" s="20"/>
      <c r="D26" s="20"/>
      <c r="E26" s="20"/>
      <c r="F26" s="20"/>
      <c r="G26" s="19"/>
      <c r="H26" s="19"/>
    </row>
    <row r="27" spans="1:9" ht="106.5" customHeight="1">
      <c r="A27" s="7" t="s">
        <v>21</v>
      </c>
      <c r="B27" s="56" t="s">
        <v>90</v>
      </c>
      <c r="C27" s="18" t="s">
        <v>91</v>
      </c>
      <c r="D27" s="18" t="s">
        <v>92</v>
      </c>
      <c r="E27" s="18" t="s">
        <v>93</v>
      </c>
      <c r="F27" s="18" t="s">
        <v>94</v>
      </c>
      <c r="G27" s="12" t="s">
        <v>28</v>
      </c>
      <c r="H27" s="12" t="s">
        <v>27</v>
      </c>
      <c r="I27" s="12" t="s">
        <v>27</v>
      </c>
    </row>
    <row r="28" spans="1:9" ht="137.25" customHeight="1">
      <c r="A28" s="7" t="s">
        <v>29</v>
      </c>
      <c r="B28" s="53"/>
      <c r="C28" s="18" t="s">
        <v>95</v>
      </c>
      <c r="D28" s="18" t="s">
        <v>92</v>
      </c>
      <c r="E28" s="18" t="s">
        <v>96</v>
      </c>
      <c r="F28" s="18" t="s">
        <v>97</v>
      </c>
      <c r="G28" s="12" t="s">
        <v>28</v>
      </c>
      <c r="H28" s="12" t="s">
        <v>27</v>
      </c>
      <c r="I28" s="12" t="s">
        <v>27</v>
      </c>
    </row>
    <row r="29" spans="1:9" ht="91.5" customHeight="1">
      <c r="A29" s="7" t="s">
        <v>32</v>
      </c>
      <c r="B29" s="53"/>
      <c r="C29" s="18" t="s">
        <v>98</v>
      </c>
      <c r="D29" s="18" t="s">
        <v>92</v>
      </c>
      <c r="E29" s="18" t="s">
        <v>99</v>
      </c>
      <c r="F29" s="18" t="s">
        <v>100</v>
      </c>
      <c r="G29" s="12" t="s">
        <v>27</v>
      </c>
      <c r="H29" s="12" t="s">
        <v>27</v>
      </c>
      <c r="I29" s="12" t="s">
        <v>27</v>
      </c>
    </row>
    <row r="30" spans="1:9" ht="76.5" customHeight="1">
      <c r="A30" s="7" t="s">
        <v>37</v>
      </c>
      <c r="B30" s="53"/>
      <c r="C30" s="18" t="s">
        <v>101</v>
      </c>
      <c r="D30" s="18" t="s">
        <v>92</v>
      </c>
      <c r="E30" s="18" t="s">
        <v>102</v>
      </c>
      <c r="F30" s="18" t="s">
        <v>103</v>
      </c>
      <c r="G30" s="12" t="s">
        <v>28</v>
      </c>
      <c r="H30" s="12" t="s">
        <v>28</v>
      </c>
      <c r="I30" s="12" t="s">
        <v>27</v>
      </c>
    </row>
    <row r="31" spans="1:9">
      <c r="A31" s="19"/>
      <c r="B31" s="20"/>
      <c r="C31" s="20"/>
      <c r="D31" s="20"/>
      <c r="E31" s="20"/>
      <c r="F31" s="20"/>
      <c r="G31" s="19"/>
      <c r="H31" s="19"/>
    </row>
    <row r="32" spans="1:9" ht="76.5" customHeight="1">
      <c r="A32" s="10" t="s">
        <v>21</v>
      </c>
      <c r="B32" s="55" t="s">
        <v>104</v>
      </c>
      <c r="C32" s="22" t="s">
        <v>105</v>
      </c>
      <c r="D32" s="22" t="s">
        <v>106</v>
      </c>
      <c r="E32" s="22" t="s">
        <v>107</v>
      </c>
      <c r="F32" s="22" t="s">
        <v>108</v>
      </c>
      <c r="G32" s="12" t="s">
        <v>28</v>
      </c>
      <c r="H32" s="12" t="s">
        <v>27</v>
      </c>
      <c r="I32" s="12" t="s">
        <v>27</v>
      </c>
    </row>
    <row r="33" spans="1:9" ht="76.5" customHeight="1">
      <c r="A33" s="10" t="s">
        <v>29</v>
      </c>
      <c r="B33" s="53"/>
      <c r="C33" s="22" t="s">
        <v>109</v>
      </c>
      <c r="D33" s="22" t="s">
        <v>106</v>
      </c>
      <c r="E33" s="22" t="s">
        <v>110</v>
      </c>
      <c r="F33" s="22" t="s">
        <v>111</v>
      </c>
      <c r="G33" s="12" t="s">
        <v>28</v>
      </c>
      <c r="H33" s="12" t="s">
        <v>27</v>
      </c>
      <c r="I33" s="12" t="s">
        <v>27</v>
      </c>
    </row>
    <row r="34" spans="1:9" ht="106.5" customHeight="1">
      <c r="A34" s="10" t="s">
        <v>32</v>
      </c>
      <c r="B34" s="53"/>
      <c r="C34" s="22" t="s">
        <v>95</v>
      </c>
      <c r="D34" s="22" t="s">
        <v>106</v>
      </c>
      <c r="E34" s="22" t="s">
        <v>112</v>
      </c>
      <c r="F34" s="22" t="s">
        <v>113</v>
      </c>
      <c r="G34" s="12" t="s">
        <v>28</v>
      </c>
      <c r="H34" s="12" t="s">
        <v>27</v>
      </c>
      <c r="I34" s="12" t="s">
        <v>27</v>
      </c>
    </row>
    <row r="35" spans="1:9" ht="76.5" customHeight="1">
      <c r="A35" s="10" t="s">
        <v>37</v>
      </c>
      <c r="B35" s="53"/>
      <c r="C35" s="22" t="s">
        <v>114</v>
      </c>
      <c r="D35" s="22" t="s">
        <v>106</v>
      </c>
      <c r="E35" s="22" t="s">
        <v>115</v>
      </c>
      <c r="F35" s="22" t="s">
        <v>116</v>
      </c>
      <c r="G35" s="12" t="s">
        <v>27</v>
      </c>
      <c r="H35" s="12" t="s">
        <v>27</v>
      </c>
      <c r="I35" s="12" t="s">
        <v>27</v>
      </c>
    </row>
    <row r="36" spans="1:9" ht="76.5" customHeight="1">
      <c r="A36" s="10" t="s">
        <v>40</v>
      </c>
      <c r="B36" s="53"/>
      <c r="C36" s="22" t="s">
        <v>117</v>
      </c>
      <c r="D36" s="22" t="s">
        <v>106</v>
      </c>
      <c r="E36" s="22" t="s">
        <v>118</v>
      </c>
      <c r="F36" s="22" t="s">
        <v>119</v>
      </c>
      <c r="G36" s="12" t="s">
        <v>28</v>
      </c>
      <c r="H36" s="12" t="s">
        <v>27</v>
      </c>
      <c r="I36" s="12" t="s">
        <v>27</v>
      </c>
    </row>
    <row r="37" spans="1:9">
      <c r="A37" s="19"/>
      <c r="B37" s="20"/>
      <c r="C37" s="20"/>
      <c r="D37" s="20"/>
      <c r="E37" s="20"/>
      <c r="F37" s="20"/>
      <c r="G37" s="19"/>
      <c r="H37" s="19"/>
    </row>
    <row r="38" spans="1:9" ht="106.5" customHeight="1">
      <c r="A38" s="7" t="s">
        <v>21</v>
      </c>
      <c r="B38" s="56" t="s">
        <v>120</v>
      </c>
      <c r="C38" s="18" t="s">
        <v>95</v>
      </c>
      <c r="D38" s="18" t="s">
        <v>121</v>
      </c>
      <c r="E38" s="18" t="s">
        <v>122</v>
      </c>
      <c r="F38" s="18" t="s">
        <v>123</v>
      </c>
      <c r="G38" s="12" t="s">
        <v>28</v>
      </c>
      <c r="H38" s="12" t="s">
        <v>27</v>
      </c>
      <c r="I38" s="12" t="s">
        <v>27</v>
      </c>
    </row>
    <row r="39" spans="1:9" ht="76.5" customHeight="1">
      <c r="A39" s="7" t="s">
        <v>29</v>
      </c>
      <c r="B39" s="53"/>
      <c r="C39" s="18" t="s">
        <v>124</v>
      </c>
      <c r="D39" s="18" t="s">
        <v>121</v>
      </c>
      <c r="E39" s="18" t="s">
        <v>125</v>
      </c>
      <c r="F39" s="18" t="s">
        <v>126</v>
      </c>
      <c r="G39" s="12" t="s">
        <v>28</v>
      </c>
      <c r="H39" s="12" t="s">
        <v>27</v>
      </c>
      <c r="I39" s="12" t="s">
        <v>27</v>
      </c>
    </row>
    <row r="40" spans="1:9" ht="23.25" customHeight="1">
      <c r="A40" s="52" t="s">
        <v>127</v>
      </c>
      <c r="B40" s="53"/>
      <c r="C40" s="53"/>
      <c r="D40" s="53"/>
      <c r="E40" s="53"/>
      <c r="F40" s="53"/>
      <c r="G40" s="53"/>
      <c r="H40" s="54"/>
      <c r="I40" s="12" t="s">
        <v>27</v>
      </c>
    </row>
    <row r="41" spans="1:9" ht="183" customHeight="1">
      <c r="A41" s="10" t="s">
        <v>21</v>
      </c>
      <c r="B41" s="55" t="s">
        <v>22</v>
      </c>
      <c r="C41" s="22" t="s">
        <v>23</v>
      </c>
      <c r="D41" s="22" t="s">
        <v>128</v>
      </c>
      <c r="E41" s="22" t="s">
        <v>25</v>
      </c>
      <c r="F41" s="22" t="s">
        <v>26</v>
      </c>
      <c r="G41" s="12" t="s">
        <v>27</v>
      </c>
      <c r="H41" s="12" t="s">
        <v>28</v>
      </c>
      <c r="I41" s="12" t="s">
        <v>27</v>
      </c>
    </row>
    <row r="42" spans="1:9" ht="183" customHeight="1">
      <c r="A42" s="10" t="s">
        <v>29</v>
      </c>
      <c r="B42" s="53"/>
      <c r="C42" s="22" t="s">
        <v>30</v>
      </c>
      <c r="D42" s="22" t="s">
        <v>129</v>
      </c>
      <c r="E42" s="22" t="s">
        <v>25</v>
      </c>
      <c r="F42" s="22" t="s">
        <v>26</v>
      </c>
      <c r="G42" s="12" t="s">
        <v>27</v>
      </c>
      <c r="H42" s="12" t="s">
        <v>28</v>
      </c>
      <c r="I42" s="12" t="s">
        <v>27</v>
      </c>
    </row>
    <row r="43" spans="1:9" ht="229.5" customHeight="1">
      <c r="A43" s="10" t="s">
        <v>32</v>
      </c>
      <c r="B43" s="53"/>
      <c r="C43" s="22" t="s">
        <v>33</v>
      </c>
      <c r="D43" s="22" t="s">
        <v>130</v>
      </c>
      <c r="E43" s="22" t="s">
        <v>35</v>
      </c>
      <c r="F43" s="22" t="s">
        <v>36</v>
      </c>
      <c r="G43" s="12" t="s">
        <v>27</v>
      </c>
      <c r="H43" s="12" t="s">
        <v>28</v>
      </c>
      <c r="I43" s="12" t="s">
        <v>27</v>
      </c>
    </row>
    <row r="44" spans="1:9" ht="229.5" customHeight="1">
      <c r="A44" s="10" t="s">
        <v>37</v>
      </c>
      <c r="B44" s="53"/>
      <c r="C44" s="22" t="s">
        <v>38</v>
      </c>
      <c r="D44" s="22" t="s">
        <v>131</v>
      </c>
      <c r="E44" s="22" t="s">
        <v>35</v>
      </c>
      <c r="F44" s="22" t="s">
        <v>36</v>
      </c>
      <c r="G44" s="12" t="s">
        <v>27</v>
      </c>
      <c r="H44" s="12" t="s">
        <v>28</v>
      </c>
      <c r="I44" s="12" t="s">
        <v>27</v>
      </c>
    </row>
    <row r="45" spans="1:9" ht="183" customHeight="1">
      <c r="A45" s="10" t="s">
        <v>40</v>
      </c>
      <c r="B45" s="53"/>
      <c r="C45" s="22" t="s">
        <v>41</v>
      </c>
      <c r="D45" s="22" t="s">
        <v>128</v>
      </c>
      <c r="E45" s="22" t="s">
        <v>42</v>
      </c>
      <c r="F45" s="22" t="s">
        <v>26</v>
      </c>
      <c r="G45" s="12" t="s">
        <v>27</v>
      </c>
      <c r="H45" s="12" t="s">
        <v>28</v>
      </c>
      <c r="I45" s="12" t="s">
        <v>27</v>
      </c>
    </row>
    <row r="46" spans="1:9" ht="183" customHeight="1">
      <c r="A46" s="10" t="s">
        <v>43</v>
      </c>
      <c r="B46" s="53"/>
      <c r="C46" s="22" t="s">
        <v>44</v>
      </c>
      <c r="D46" s="22" t="s">
        <v>129</v>
      </c>
      <c r="E46" s="22" t="s">
        <v>42</v>
      </c>
      <c r="F46" s="22" t="s">
        <v>26</v>
      </c>
      <c r="G46" s="12" t="s">
        <v>27</v>
      </c>
      <c r="H46" s="12" t="s">
        <v>28</v>
      </c>
      <c r="I46" s="12" t="s">
        <v>27</v>
      </c>
    </row>
    <row r="47" spans="1:9" ht="229.5" customHeight="1">
      <c r="A47" s="10" t="s">
        <v>45</v>
      </c>
      <c r="B47" s="53"/>
      <c r="C47" s="22" t="s">
        <v>46</v>
      </c>
      <c r="D47" s="22" t="s">
        <v>132</v>
      </c>
      <c r="E47" s="22" t="s">
        <v>48</v>
      </c>
      <c r="F47" s="22" t="s">
        <v>36</v>
      </c>
      <c r="G47" s="12" t="s">
        <v>27</v>
      </c>
      <c r="H47" s="12" t="s">
        <v>28</v>
      </c>
      <c r="I47" s="12" t="s">
        <v>27</v>
      </c>
    </row>
    <row r="48" spans="1:9" ht="229.5" customHeight="1">
      <c r="A48" s="10" t="s">
        <v>49</v>
      </c>
      <c r="B48" s="53"/>
      <c r="C48" s="22" t="s">
        <v>50</v>
      </c>
      <c r="D48" s="22" t="s">
        <v>131</v>
      </c>
      <c r="E48" s="22" t="s">
        <v>48</v>
      </c>
      <c r="F48" s="22" t="s">
        <v>36</v>
      </c>
      <c r="G48" s="12" t="s">
        <v>27</v>
      </c>
      <c r="H48" s="12" t="s">
        <v>28</v>
      </c>
      <c r="I48" s="12" t="s">
        <v>27</v>
      </c>
    </row>
    <row r="49" spans="1:9">
      <c r="A49" s="19"/>
      <c r="B49" s="20"/>
      <c r="C49" s="20"/>
      <c r="D49" s="20"/>
      <c r="E49" s="20"/>
      <c r="F49" s="20"/>
      <c r="G49" s="19"/>
      <c r="H49" s="19"/>
    </row>
    <row r="50" spans="1:9" ht="106.5" customHeight="1">
      <c r="A50" s="7" t="s">
        <v>21</v>
      </c>
      <c r="B50" s="56" t="s">
        <v>51</v>
      </c>
      <c r="C50" s="18" t="s">
        <v>52</v>
      </c>
      <c r="D50" s="18" t="s">
        <v>128</v>
      </c>
      <c r="E50" s="18" t="s">
        <v>53</v>
      </c>
      <c r="F50" s="18" t="s">
        <v>54</v>
      </c>
      <c r="G50" s="12" t="s">
        <v>27</v>
      </c>
      <c r="H50" s="12" t="s">
        <v>27</v>
      </c>
      <c r="I50" s="12" t="s">
        <v>27</v>
      </c>
    </row>
    <row r="51" spans="1:9" ht="121.5" customHeight="1">
      <c r="A51" s="7" t="s">
        <v>29</v>
      </c>
      <c r="B51" s="53"/>
      <c r="C51" s="18" t="s">
        <v>55</v>
      </c>
      <c r="D51" s="18" t="s">
        <v>128</v>
      </c>
      <c r="E51" s="18" t="s">
        <v>56</v>
      </c>
      <c r="F51" s="18" t="s">
        <v>57</v>
      </c>
      <c r="G51" s="12" t="s">
        <v>27</v>
      </c>
      <c r="H51" s="12" t="s">
        <v>28</v>
      </c>
      <c r="I51" s="12" t="s">
        <v>27</v>
      </c>
    </row>
    <row r="52" spans="1:9">
      <c r="A52" s="19"/>
      <c r="B52" s="20"/>
      <c r="C52" s="20"/>
      <c r="D52" s="20"/>
      <c r="E52" s="20"/>
      <c r="F52" s="20"/>
      <c r="G52" s="19"/>
      <c r="H52" s="19"/>
    </row>
    <row r="53" spans="1:9" ht="152.25" customHeight="1">
      <c r="A53" s="10" t="s">
        <v>21</v>
      </c>
      <c r="B53" s="55" t="s">
        <v>58</v>
      </c>
      <c r="C53" s="22" t="s">
        <v>59</v>
      </c>
      <c r="D53" s="22" t="s">
        <v>128</v>
      </c>
      <c r="E53" s="22" t="s">
        <v>60</v>
      </c>
      <c r="F53" s="22" t="s">
        <v>61</v>
      </c>
      <c r="G53" s="12" t="s">
        <v>27</v>
      </c>
      <c r="H53" s="12" t="s">
        <v>27</v>
      </c>
      <c r="I53" s="12" t="s">
        <v>27</v>
      </c>
    </row>
    <row r="54" spans="1:9" ht="152.25" customHeight="1">
      <c r="A54" s="10" t="s">
        <v>29</v>
      </c>
      <c r="B54" s="53"/>
      <c r="C54" s="22" t="s">
        <v>62</v>
      </c>
      <c r="D54" s="22" t="s">
        <v>133</v>
      </c>
      <c r="E54" s="22" t="s">
        <v>64</v>
      </c>
      <c r="F54" s="22" t="s">
        <v>65</v>
      </c>
      <c r="G54" s="12" t="s">
        <v>27</v>
      </c>
      <c r="H54" s="12" t="s">
        <v>27</v>
      </c>
      <c r="I54" s="12" t="s">
        <v>27</v>
      </c>
    </row>
    <row r="55" spans="1:9" ht="152.25" customHeight="1">
      <c r="A55" s="10" t="s">
        <v>32</v>
      </c>
      <c r="B55" s="53"/>
      <c r="C55" s="22" t="s">
        <v>66</v>
      </c>
      <c r="D55" s="22" t="s">
        <v>134</v>
      </c>
      <c r="E55" s="22" t="s">
        <v>68</v>
      </c>
      <c r="F55" s="22" t="s">
        <v>61</v>
      </c>
      <c r="G55" s="12" t="s">
        <v>27</v>
      </c>
      <c r="H55" s="12" t="s">
        <v>27</v>
      </c>
      <c r="I55" s="12" t="s">
        <v>27</v>
      </c>
    </row>
    <row r="56" spans="1:9">
      <c r="A56" s="19"/>
      <c r="B56" s="20"/>
      <c r="C56" s="20"/>
      <c r="D56" s="20"/>
      <c r="E56" s="20"/>
      <c r="F56" s="20"/>
      <c r="G56" s="19"/>
      <c r="H56" s="19"/>
    </row>
    <row r="57" spans="1:9" ht="91.5" customHeight="1">
      <c r="A57" s="7" t="s">
        <v>21</v>
      </c>
      <c r="B57" s="56" t="s">
        <v>69</v>
      </c>
      <c r="C57" s="18" t="s">
        <v>70</v>
      </c>
      <c r="D57" s="18" t="s">
        <v>128</v>
      </c>
      <c r="E57" s="18" t="s">
        <v>71</v>
      </c>
      <c r="F57" s="18" t="s">
        <v>72</v>
      </c>
      <c r="G57" s="12" t="s">
        <v>27</v>
      </c>
      <c r="H57" s="12" t="s">
        <v>27</v>
      </c>
      <c r="I57" s="12" t="s">
        <v>27</v>
      </c>
    </row>
    <row r="58" spans="1:9" ht="152.25" customHeight="1">
      <c r="A58" s="7" t="s">
        <v>29</v>
      </c>
      <c r="B58" s="53"/>
      <c r="C58" s="18" t="s">
        <v>73</v>
      </c>
      <c r="D58" s="18" t="s">
        <v>135</v>
      </c>
      <c r="E58" s="18" t="s">
        <v>75</v>
      </c>
      <c r="F58" s="18" t="s">
        <v>76</v>
      </c>
      <c r="G58" s="12" t="s">
        <v>28</v>
      </c>
      <c r="H58" s="12" t="s">
        <v>28</v>
      </c>
      <c r="I58" s="12" t="s">
        <v>27</v>
      </c>
    </row>
    <row r="59" spans="1:9" ht="121.5" customHeight="1">
      <c r="A59" s="7" t="s">
        <v>32</v>
      </c>
      <c r="B59" s="53"/>
      <c r="C59" s="18" t="s">
        <v>77</v>
      </c>
      <c r="D59" s="18" t="s">
        <v>135</v>
      </c>
      <c r="E59" s="18" t="s">
        <v>78</v>
      </c>
      <c r="F59" s="18" t="s">
        <v>79</v>
      </c>
      <c r="G59" s="12" t="s">
        <v>28</v>
      </c>
      <c r="H59" s="12" t="s">
        <v>28</v>
      </c>
      <c r="I59" s="12" t="s">
        <v>27</v>
      </c>
    </row>
    <row r="60" spans="1:9" ht="152.25" customHeight="1">
      <c r="A60" s="7" t="s">
        <v>37</v>
      </c>
      <c r="B60" s="53"/>
      <c r="C60" s="18" t="s">
        <v>80</v>
      </c>
      <c r="D60" s="18" t="s">
        <v>135</v>
      </c>
      <c r="E60" s="18" t="s">
        <v>81</v>
      </c>
      <c r="F60" s="18" t="s">
        <v>76</v>
      </c>
      <c r="G60" s="12" t="s">
        <v>28</v>
      </c>
      <c r="H60" s="12" t="s">
        <v>28</v>
      </c>
      <c r="I60" s="12" t="s">
        <v>27</v>
      </c>
    </row>
    <row r="61" spans="1:9" ht="105" customHeight="1">
      <c r="A61" s="7" t="s">
        <v>40</v>
      </c>
      <c r="B61" s="53"/>
      <c r="C61" s="18" t="s">
        <v>82</v>
      </c>
      <c r="D61" s="18" t="s">
        <v>136</v>
      </c>
      <c r="E61" s="18" t="s">
        <v>84</v>
      </c>
      <c r="F61" s="18" t="s">
        <v>85</v>
      </c>
      <c r="G61" s="12" t="s">
        <v>28</v>
      </c>
      <c r="H61" s="12" t="s">
        <v>28</v>
      </c>
      <c r="I61" s="12" t="s">
        <v>27</v>
      </c>
    </row>
    <row r="62" spans="1:9" ht="76.5" customHeight="1">
      <c r="A62" s="7" t="s">
        <v>43</v>
      </c>
      <c r="B62" s="53"/>
      <c r="C62" s="27" t="s">
        <v>86</v>
      </c>
      <c r="D62" s="18" t="s">
        <v>135</v>
      </c>
      <c r="E62" s="18" t="s">
        <v>87</v>
      </c>
      <c r="F62" s="18" t="s">
        <v>85</v>
      </c>
      <c r="G62" s="12" t="s">
        <v>28</v>
      </c>
      <c r="H62" s="12" t="s">
        <v>28</v>
      </c>
      <c r="I62" s="12" t="s">
        <v>27</v>
      </c>
    </row>
    <row r="63" spans="1:9" ht="76.5" customHeight="1">
      <c r="A63" s="7" t="s">
        <v>45</v>
      </c>
      <c r="B63" s="53"/>
      <c r="C63" s="18" t="s">
        <v>88</v>
      </c>
      <c r="D63" s="18" t="s">
        <v>135</v>
      </c>
      <c r="E63" s="18" t="s">
        <v>89</v>
      </c>
      <c r="F63" s="18" t="s">
        <v>85</v>
      </c>
      <c r="G63" s="12" t="s">
        <v>28</v>
      </c>
      <c r="H63" s="12" t="s">
        <v>28</v>
      </c>
      <c r="I63" s="12" t="s">
        <v>27</v>
      </c>
    </row>
    <row r="64" spans="1:9">
      <c r="A64" s="19"/>
      <c r="B64" s="20"/>
      <c r="C64" s="20"/>
      <c r="D64" s="20"/>
      <c r="E64" s="20"/>
      <c r="F64" s="20"/>
      <c r="G64" s="19"/>
      <c r="H64" s="19"/>
    </row>
    <row r="65" spans="1:9" ht="106.5" customHeight="1">
      <c r="A65" s="10" t="s">
        <v>21</v>
      </c>
      <c r="B65" s="55" t="s">
        <v>90</v>
      </c>
      <c r="C65" s="22" t="s">
        <v>91</v>
      </c>
      <c r="D65" s="22" t="s">
        <v>137</v>
      </c>
      <c r="E65" s="22" t="s">
        <v>93</v>
      </c>
      <c r="F65" s="22" t="s">
        <v>94</v>
      </c>
      <c r="G65" s="12" t="s">
        <v>28</v>
      </c>
      <c r="H65" s="12" t="s">
        <v>27</v>
      </c>
      <c r="I65" s="12" t="s">
        <v>27</v>
      </c>
    </row>
    <row r="66" spans="1:9" ht="137.25" customHeight="1">
      <c r="A66" s="10" t="s">
        <v>29</v>
      </c>
      <c r="B66" s="53"/>
      <c r="C66" s="22" t="s">
        <v>95</v>
      </c>
      <c r="D66" s="22" t="s">
        <v>137</v>
      </c>
      <c r="E66" s="22" t="s">
        <v>96</v>
      </c>
      <c r="F66" s="22" t="s">
        <v>97</v>
      </c>
      <c r="G66" s="12" t="s">
        <v>28</v>
      </c>
      <c r="H66" s="12" t="s">
        <v>27</v>
      </c>
      <c r="I66" s="12" t="s">
        <v>27</v>
      </c>
    </row>
    <row r="67" spans="1:9" ht="90" customHeight="1">
      <c r="A67" s="10" t="s">
        <v>32</v>
      </c>
      <c r="B67" s="53"/>
      <c r="C67" s="22" t="s">
        <v>98</v>
      </c>
      <c r="D67" s="22" t="s">
        <v>137</v>
      </c>
      <c r="E67" s="22" t="s">
        <v>99</v>
      </c>
      <c r="F67" s="22" t="s">
        <v>100</v>
      </c>
      <c r="G67" s="12" t="s">
        <v>27</v>
      </c>
      <c r="H67" s="12" t="s">
        <v>27</v>
      </c>
      <c r="I67" s="12" t="s">
        <v>27</v>
      </c>
    </row>
    <row r="68" spans="1:9" ht="76.5" customHeight="1">
      <c r="A68" s="10" t="s">
        <v>37</v>
      </c>
      <c r="B68" s="53"/>
      <c r="C68" s="22" t="s">
        <v>101</v>
      </c>
      <c r="D68" s="22" t="s">
        <v>137</v>
      </c>
      <c r="E68" s="22" t="s">
        <v>102</v>
      </c>
      <c r="F68" s="22" t="s">
        <v>103</v>
      </c>
      <c r="G68" s="12" t="s">
        <v>28</v>
      </c>
      <c r="H68" s="12" t="s">
        <v>28</v>
      </c>
      <c r="I68" s="12" t="s">
        <v>27</v>
      </c>
    </row>
    <row r="69" spans="1:9">
      <c r="A69" s="19"/>
      <c r="B69" s="20"/>
      <c r="C69" s="20"/>
      <c r="D69" s="20"/>
      <c r="E69" s="20"/>
      <c r="F69" s="20"/>
      <c r="G69" s="19"/>
      <c r="H69" s="19"/>
    </row>
    <row r="70" spans="1:9" ht="76.5" customHeight="1">
      <c r="A70" s="7" t="s">
        <v>21</v>
      </c>
      <c r="B70" s="56" t="s">
        <v>104</v>
      </c>
      <c r="C70" s="18" t="s">
        <v>105</v>
      </c>
      <c r="D70" s="18" t="s">
        <v>138</v>
      </c>
      <c r="E70" s="18" t="s">
        <v>107</v>
      </c>
      <c r="F70" s="18" t="s">
        <v>108</v>
      </c>
      <c r="G70" s="12" t="s">
        <v>28</v>
      </c>
      <c r="H70" s="12" t="s">
        <v>27</v>
      </c>
      <c r="I70" s="12" t="s">
        <v>27</v>
      </c>
    </row>
    <row r="71" spans="1:9" ht="76.5" customHeight="1">
      <c r="A71" s="7" t="s">
        <v>29</v>
      </c>
      <c r="B71" s="53"/>
      <c r="C71" s="18" t="s">
        <v>109</v>
      </c>
      <c r="D71" s="18" t="s">
        <v>138</v>
      </c>
      <c r="E71" s="18" t="s">
        <v>110</v>
      </c>
      <c r="F71" s="18" t="s">
        <v>111</v>
      </c>
      <c r="G71" s="12" t="s">
        <v>28</v>
      </c>
      <c r="H71" s="12" t="s">
        <v>27</v>
      </c>
      <c r="I71" s="12" t="s">
        <v>27</v>
      </c>
    </row>
    <row r="72" spans="1:9" ht="106.5" customHeight="1">
      <c r="A72" s="7" t="s">
        <v>32</v>
      </c>
      <c r="B72" s="53"/>
      <c r="C72" s="18" t="s">
        <v>95</v>
      </c>
      <c r="D72" s="18" t="s">
        <v>138</v>
      </c>
      <c r="E72" s="18" t="s">
        <v>112</v>
      </c>
      <c r="F72" s="18" t="s">
        <v>113</v>
      </c>
      <c r="G72" s="12" t="s">
        <v>28</v>
      </c>
      <c r="H72" s="12" t="s">
        <v>27</v>
      </c>
      <c r="I72" s="12" t="s">
        <v>27</v>
      </c>
    </row>
    <row r="73" spans="1:9" ht="76.5" customHeight="1">
      <c r="A73" s="7" t="s">
        <v>37</v>
      </c>
      <c r="B73" s="53"/>
      <c r="C73" s="18" t="s">
        <v>114</v>
      </c>
      <c r="D73" s="18" t="s">
        <v>138</v>
      </c>
      <c r="E73" s="18" t="s">
        <v>115</v>
      </c>
      <c r="F73" s="18" t="s">
        <v>116</v>
      </c>
      <c r="G73" s="12" t="s">
        <v>27</v>
      </c>
      <c r="H73" s="12" t="s">
        <v>27</v>
      </c>
      <c r="I73" s="12" t="s">
        <v>27</v>
      </c>
    </row>
    <row r="74" spans="1:9" ht="76.5" customHeight="1">
      <c r="A74" s="7" t="s">
        <v>40</v>
      </c>
      <c r="B74" s="53"/>
      <c r="C74" s="18" t="s">
        <v>117</v>
      </c>
      <c r="D74" s="18" t="s">
        <v>138</v>
      </c>
      <c r="E74" s="18" t="s">
        <v>118</v>
      </c>
      <c r="F74" s="18" t="s">
        <v>119</v>
      </c>
      <c r="G74" s="12" t="s">
        <v>28</v>
      </c>
      <c r="H74" s="12" t="s">
        <v>27</v>
      </c>
      <c r="I74" s="12" t="s">
        <v>27</v>
      </c>
    </row>
    <row r="75" spans="1:9">
      <c r="A75" s="19"/>
      <c r="B75" s="20"/>
      <c r="C75" s="20"/>
      <c r="D75" s="20"/>
      <c r="E75" s="20"/>
      <c r="F75" s="20"/>
      <c r="G75" s="19"/>
      <c r="H75" s="19"/>
    </row>
    <row r="76" spans="1:9" ht="106.5" customHeight="1">
      <c r="A76" s="10" t="s">
        <v>21</v>
      </c>
      <c r="B76" s="55" t="s">
        <v>120</v>
      </c>
      <c r="C76" s="22" t="s">
        <v>95</v>
      </c>
      <c r="D76" s="22" t="s">
        <v>139</v>
      </c>
      <c r="E76" s="22" t="s">
        <v>122</v>
      </c>
      <c r="F76" s="22" t="s">
        <v>123</v>
      </c>
      <c r="G76" s="12" t="s">
        <v>28</v>
      </c>
      <c r="H76" s="12" t="s">
        <v>27</v>
      </c>
      <c r="I76" s="12" t="s">
        <v>27</v>
      </c>
    </row>
    <row r="77" spans="1:9" ht="76.5" customHeight="1">
      <c r="A77" s="10" t="s">
        <v>29</v>
      </c>
      <c r="B77" s="53"/>
      <c r="C77" s="22" t="s">
        <v>124</v>
      </c>
      <c r="D77" s="22" t="s">
        <v>139</v>
      </c>
      <c r="E77" s="22" t="s">
        <v>125</v>
      </c>
      <c r="F77" s="22" t="s">
        <v>126</v>
      </c>
      <c r="G77" s="12" t="s">
        <v>28</v>
      </c>
      <c r="H77" s="12" t="s">
        <v>27</v>
      </c>
      <c r="I77" s="12" t="s">
        <v>27</v>
      </c>
    </row>
    <row r="78" spans="1:9" ht="23.25" customHeight="1">
      <c r="A78" s="52" t="s">
        <v>140</v>
      </c>
      <c r="B78" s="53"/>
      <c r="C78" s="53"/>
      <c r="D78" s="53"/>
      <c r="E78" s="53"/>
      <c r="F78" s="53"/>
      <c r="G78" s="53"/>
      <c r="H78" s="54"/>
      <c r="I78" s="12" t="s">
        <v>27</v>
      </c>
    </row>
    <row r="79" spans="1:9" ht="76.5" customHeight="1">
      <c r="A79" s="7" t="s">
        <v>21</v>
      </c>
      <c r="B79" s="56" t="s">
        <v>141</v>
      </c>
      <c r="C79" s="18" t="s">
        <v>142</v>
      </c>
      <c r="D79" s="18" t="s">
        <v>143</v>
      </c>
      <c r="E79" s="18" t="s">
        <v>144</v>
      </c>
      <c r="F79" s="18" t="s">
        <v>145</v>
      </c>
      <c r="G79" s="12" t="s">
        <v>27</v>
      </c>
      <c r="H79" s="12" t="s">
        <v>27</v>
      </c>
      <c r="I79" s="12" t="s">
        <v>27</v>
      </c>
    </row>
    <row r="80" spans="1:9" ht="60.75" customHeight="1">
      <c r="A80" s="7" t="s">
        <v>29</v>
      </c>
      <c r="B80" s="53"/>
      <c r="C80" s="18" t="s">
        <v>146</v>
      </c>
      <c r="D80" s="18"/>
      <c r="E80" s="18" t="s">
        <v>147</v>
      </c>
      <c r="F80" s="18" t="s">
        <v>148</v>
      </c>
      <c r="G80" s="12" t="s">
        <v>27</v>
      </c>
      <c r="H80" s="12" t="s">
        <v>27</v>
      </c>
      <c r="I80" s="12" t="s">
        <v>27</v>
      </c>
    </row>
    <row r="81" spans="1:9" ht="60.75" customHeight="1">
      <c r="A81" s="7" t="s">
        <v>32</v>
      </c>
      <c r="B81" s="53"/>
      <c r="C81" s="18" t="s">
        <v>149</v>
      </c>
      <c r="D81" s="18" t="s">
        <v>150</v>
      </c>
      <c r="E81" s="18" t="s">
        <v>151</v>
      </c>
      <c r="F81" s="18" t="s">
        <v>152</v>
      </c>
      <c r="G81" s="12" t="s">
        <v>27</v>
      </c>
      <c r="H81" s="12" t="s">
        <v>27</v>
      </c>
      <c r="I81" s="12" t="s">
        <v>27</v>
      </c>
    </row>
    <row r="82" spans="1:9">
      <c r="A82" s="19"/>
      <c r="B82" s="20"/>
      <c r="C82" s="20"/>
      <c r="D82" s="20"/>
      <c r="E82" s="20"/>
      <c r="F82" s="20"/>
      <c r="G82" s="19"/>
      <c r="H82" s="19"/>
    </row>
    <row r="83" spans="1:9" ht="152.25" customHeight="1">
      <c r="A83" s="10" t="s">
        <v>37</v>
      </c>
      <c r="B83" s="55" t="s">
        <v>153</v>
      </c>
      <c r="C83" s="22" t="s">
        <v>95</v>
      </c>
      <c r="D83" s="22"/>
      <c r="E83" s="22" t="s">
        <v>154</v>
      </c>
      <c r="F83" s="22" t="s">
        <v>155</v>
      </c>
      <c r="G83" s="12" t="s">
        <v>28</v>
      </c>
      <c r="H83" s="12" t="s">
        <v>27</v>
      </c>
      <c r="I83" s="12" t="s">
        <v>27</v>
      </c>
    </row>
    <row r="84" spans="1:9" ht="167.25" customHeight="1">
      <c r="A84" s="10" t="s">
        <v>40</v>
      </c>
      <c r="B84" s="53"/>
      <c r="C84" s="22" t="s">
        <v>156</v>
      </c>
      <c r="D84" s="22"/>
      <c r="E84" s="22" t="s">
        <v>157</v>
      </c>
      <c r="F84" s="22" t="s">
        <v>158</v>
      </c>
      <c r="G84" s="12" t="s">
        <v>28</v>
      </c>
      <c r="H84" s="12" t="s">
        <v>27</v>
      </c>
      <c r="I84" s="12" t="s">
        <v>27</v>
      </c>
    </row>
    <row r="85" spans="1:9" ht="23.25" customHeight="1">
      <c r="A85" s="52" t="s">
        <v>159</v>
      </c>
      <c r="B85" s="53"/>
      <c r="C85" s="53"/>
      <c r="D85" s="53"/>
      <c r="E85" s="53"/>
      <c r="F85" s="53"/>
      <c r="G85" s="53"/>
      <c r="H85" s="54"/>
      <c r="I85" s="12" t="s">
        <v>27</v>
      </c>
    </row>
    <row r="86" spans="1:9" ht="76.5" customHeight="1">
      <c r="A86" s="7" t="s">
        <v>21</v>
      </c>
      <c r="B86" s="56" t="s">
        <v>141</v>
      </c>
      <c r="C86" s="18" t="s">
        <v>142</v>
      </c>
      <c r="D86" s="18" t="s">
        <v>143</v>
      </c>
      <c r="E86" s="18" t="s">
        <v>144</v>
      </c>
      <c r="F86" s="18" t="s">
        <v>145</v>
      </c>
      <c r="G86" s="12" t="s">
        <v>27</v>
      </c>
      <c r="H86" s="12" t="s">
        <v>27</v>
      </c>
      <c r="I86" s="12" t="s">
        <v>27</v>
      </c>
    </row>
    <row r="87" spans="1:9" ht="60.75" customHeight="1">
      <c r="A87" s="7" t="s">
        <v>29</v>
      </c>
      <c r="B87" s="53"/>
      <c r="C87" s="18" t="s">
        <v>146</v>
      </c>
      <c r="D87" s="18"/>
      <c r="E87" s="18" t="s">
        <v>147</v>
      </c>
      <c r="F87" s="18" t="s">
        <v>148</v>
      </c>
      <c r="G87" s="12" t="s">
        <v>27</v>
      </c>
      <c r="H87" s="12" t="s">
        <v>27</v>
      </c>
      <c r="I87" s="12" t="s">
        <v>27</v>
      </c>
    </row>
    <row r="88" spans="1:9" ht="60.75" customHeight="1">
      <c r="A88" s="7" t="s">
        <v>32</v>
      </c>
      <c r="B88" s="53"/>
      <c r="C88" s="18" t="s">
        <v>149</v>
      </c>
      <c r="D88" s="18" t="s">
        <v>160</v>
      </c>
      <c r="E88" s="18" t="s">
        <v>151</v>
      </c>
      <c r="F88" s="18" t="s">
        <v>152</v>
      </c>
      <c r="G88" s="12" t="s">
        <v>27</v>
      </c>
      <c r="H88" s="12" t="s">
        <v>27</v>
      </c>
      <c r="I88" s="12" t="s">
        <v>27</v>
      </c>
    </row>
    <row r="89" spans="1:9">
      <c r="A89" s="19"/>
      <c r="B89" s="20"/>
      <c r="C89" s="20"/>
      <c r="D89" s="20"/>
      <c r="E89" s="20"/>
      <c r="F89" s="20"/>
      <c r="G89" s="19"/>
      <c r="H89" s="19"/>
    </row>
    <row r="90" spans="1:9" ht="152.25" customHeight="1">
      <c r="A90" s="10" t="s">
        <v>37</v>
      </c>
      <c r="B90" s="55" t="s">
        <v>153</v>
      </c>
      <c r="C90" s="22" t="s">
        <v>95</v>
      </c>
      <c r="D90" s="22"/>
      <c r="E90" s="22" t="s">
        <v>154</v>
      </c>
      <c r="F90" s="22" t="s">
        <v>155</v>
      </c>
      <c r="G90" s="12" t="s">
        <v>28</v>
      </c>
      <c r="H90" s="12" t="s">
        <v>27</v>
      </c>
      <c r="I90" s="12" t="s">
        <v>27</v>
      </c>
    </row>
    <row r="91" spans="1:9" ht="167.25" customHeight="1">
      <c r="A91" s="10" t="s">
        <v>40</v>
      </c>
      <c r="B91" s="53"/>
      <c r="C91" s="22" t="s">
        <v>156</v>
      </c>
      <c r="D91" s="22"/>
      <c r="E91" s="22" t="s">
        <v>157</v>
      </c>
      <c r="F91" s="22" t="s">
        <v>158</v>
      </c>
      <c r="G91" s="12" t="s">
        <v>28</v>
      </c>
      <c r="H91" s="12" t="s">
        <v>27</v>
      </c>
      <c r="I91" s="12" t="s">
        <v>27</v>
      </c>
    </row>
    <row r="92" spans="1:9">
      <c r="A92" s="19"/>
      <c r="B92" s="20"/>
      <c r="C92" s="20"/>
      <c r="D92" s="20"/>
      <c r="E92" s="20"/>
      <c r="F92" s="20"/>
      <c r="G92" s="19"/>
      <c r="H92" s="19"/>
    </row>
  </sheetData>
  <mergeCells count="22">
    <mergeCell ref="B12:B13"/>
    <mergeCell ref="B90:B91"/>
    <mergeCell ref="B15:B17"/>
    <mergeCell ref="B79:B81"/>
    <mergeCell ref="B83:B84"/>
    <mergeCell ref="B86:B88"/>
    <mergeCell ref="A2:H2"/>
    <mergeCell ref="A85:H85"/>
    <mergeCell ref="B32:B36"/>
    <mergeCell ref="B65:B68"/>
    <mergeCell ref="B76:B77"/>
    <mergeCell ref="B50:B51"/>
    <mergeCell ref="A40:H40"/>
    <mergeCell ref="B3:B10"/>
    <mergeCell ref="B41:B48"/>
    <mergeCell ref="B27:B30"/>
    <mergeCell ref="B38:B39"/>
    <mergeCell ref="A78:H78"/>
    <mergeCell ref="B70:B74"/>
    <mergeCell ref="B53:B55"/>
    <mergeCell ref="B19:B25"/>
    <mergeCell ref="B57:B63"/>
  </mergeCells>
  <conditionalFormatting sqref="G1">
    <cfRule type="cellIs" dxfId="153" priority="564" operator="equal">
      <formula>"Si"</formula>
    </cfRule>
    <cfRule type="cellIs" dxfId="152" priority="563" operator="equal">
      <formula>"No"</formula>
    </cfRule>
  </conditionalFormatting>
  <conditionalFormatting sqref="G79:H84">
    <cfRule type="cellIs" dxfId="151" priority="145" operator="equal">
      <formula>"No"</formula>
    </cfRule>
    <cfRule type="cellIs" dxfId="150" priority="146" operator="equal">
      <formula>"Si"</formula>
    </cfRule>
  </conditionalFormatting>
  <conditionalFormatting sqref="G86:H92">
    <cfRule type="cellIs" dxfId="149" priority="149" operator="equal">
      <formula>"No"</formula>
    </cfRule>
    <cfRule type="cellIs" dxfId="148" priority="150" operator="equal">
      <formula>"Si"</formula>
    </cfRule>
  </conditionalFormatting>
  <conditionalFormatting sqref="G19:I25">
    <cfRule type="cellIs" dxfId="147" priority="106" operator="equal">
      <formula>"Si"</formula>
    </cfRule>
    <cfRule type="cellIs" dxfId="146" priority="105" operator="equal">
      <formula>"No"</formula>
    </cfRule>
  </conditionalFormatting>
  <conditionalFormatting sqref="G27:I30">
    <cfRule type="cellIs" dxfId="145" priority="98" operator="equal">
      <formula>"Si"</formula>
    </cfRule>
    <cfRule type="cellIs" dxfId="144" priority="97" operator="equal">
      <formula>"No"</formula>
    </cfRule>
  </conditionalFormatting>
  <conditionalFormatting sqref="G32:I36">
    <cfRule type="cellIs" dxfId="143" priority="88" operator="equal">
      <formula>"Si"</formula>
    </cfRule>
    <cfRule type="cellIs" dxfId="142" priority="87" operator="equal">
      <formula>"No"</formula>
    </cfRule>
  </conditionalFormatting>
  <conditionalFormatting sqref="G38:I39">
    <cfRule type="cellIs" dxfId="141" priority="84" operator="equal">
      <formula>"Si"</formula>
    </cfRule>
    <cfRule type="cellIs" dxfId="140" priority="83" operator="equal">
      <formula>"No"</formula>
    </cfRule>
  </conditionalFormatting>
  <conditionalFormatting sqref="G57:I63">
    <cfRule type="cellIs" dxfId="139" priority="43" operator="equal">
      <formula>"No"</formula>
    </cfRule>
    <cfRule type="cellIs" dxfId="138" priority="44" operator="equal">
      <formula>"Si"</formula>
    </cfRule>
  </conditionalFormatting>
  <conditionalFormatting sqref="G65:I68">
    <cfRule type="cellIs" dxfId="137" priority="35" operator="equal">
      <formula>"No"</formula>
    </cfRule>
    <cfRule type="cellIs" dxfId="136" priority="36" operator="equal">
      <formula>"Si"</formula>
    </cfRule>
  </conditionalFormatting>
  <conditionalFormatting sqref="G70:I74">
    <cfRule type="cellIs" dxfId="135" priority="25" operator="equal">
      <formula>"No"</formula>
    </cfRule>
    <cfRule type="cellIs" dxfId="134" priority="26" operator="equal">
      <formula>"Si"</formula>
    </cfRule>
  </conditionalFormatting>
  <conditionalFormatting sqref="G76:I77">
    <cfRule type="cellIs" dxfId="133" priority="21" operator="equal">
      <formula>"No"</formula>
    </cfRule>
    <cfRule type="cellIs" dxfId="132" priority="22" operator="equal">
      <formula>"Si"</formula>
    </cfRule>
  </conditionalFormatting>
  <conditionalFormatting sqref="H3:I10">
    <cfRule type="cellIs" dxfId="131" priority="129" operator="equal">
      <formula>"No"</formula>
    </cfRule>
    <cfRule type="cellIs" dxfId="130" priority="130" operator="equal">
      <formula>"Si"</formula>
    </cfRule>
  </conditionalFormatting>
  <conditionalFormatting sqref="H12:I13">
    <cfRule type="cellIs" dxfId="129" priority="125" operator="equal">
      <formula>"No"</formula>
    </cfRule>
    <cfRule type="cellIs" dxfId="128" priority="126" operator="equal">
      <formula>"Si"</formula>
    </cfRule>
  </conditionalFormatting>
  <conditionalFormatting sqref="H15:I17">
    <cfRule type="cellIs" dxfId="127" priority="119" operator="equal">
      <formula>"No"</formula>
    </cfRule>
    <cfRule type="cellIs" dxfId="126" priority="120" operator="equal">
      <formula>"Si"</formula>
    </cfRule>
  </conditionalFormatting>
  <conditionalFormatting sqref="H41:I48">
    <cfRule type="cellIs" dxfId="125" priority="67" operator="equal">
      <formula>"No"</formula>
    </cfRule>
    <cfRule type="cellIs" dxfId="124" priority="68" operator="equal">
      <formula>"Si"</formula>
    </cfRule>
  </conditionalFormatting>
  <conditionalFormatting sqref="H50:I51">
    <cfRule type="cellIs" dxfId="123" priority="64" operator="equal">
      <formula>"Si"</formula>
    </cfRule>
    <cfRule type="cellIs" dxfId="122" priority="63" operator="equal">
      <formula>"No"</formula>
    </cfRule>
  </conditionalFormatting>
  <conditionalFormatting sqref="H53:I55">
    <cfRule type="cellIs" dxfId="121" priority="58" operator="equal">
      <formula>"Si"</formula>
    </cfRule>
    <cfRule type="cellIs" dxfId="120" priority="57" operator="equal">
      <formula>"No"</formula>
    </cfRule>
  </conditionalFormatting>
  <conditionalFormatting sqref="I79:I81">
    <cfRule type="cellIs" dxfId="119" priority="16" operator="equal">
      <formula>"Si"</formula>
    </cfRule>
    <cfRule type="cellIs" dxfId="118" priority="15" operator="equal">
      <formula>"No"</formula>
    </cfRule>
  </conditionalFormatting>
  <conditionalFormatting sqref="I83:I84">
    <cfRule type="cellIs" dxfId="117" priority="12" operator="equal">
      <formula>"Si"</formula>
    </cfRule>
    <cfRule type="cellIs" dxfId="116" priority="11" operator="equal">
      <formula>"No"</formula>
    </cfRule>
  </conditionalFormatting>
  <conditionalFormatting sqref="I86:I88">
    <cfRule type="cellIs" dxfId="115" priority="6" operator="equal">
      <formula>"Si"</formula>
    </cfRule>
    <cfRule type="cellIs" dxfId="114" priority="5" operator="equal">
      <formula>"No"</formula>
    </cfRule>
  </conditionalFormatting>
  <conditionalFormatting sqref="I90:I91">
    <cfRule type="cellIs" dxfId="113" priority="2" operator="equal">
      <formula>"Si"</formula>
    </cfRule>
    <cfRule type="cellIs" dxfId="112" priority="1" operator="equal">
      <formula>"No"</formula>
    </cfRule>
  </conditionalFormatting>
  <dataValidations count="1">
    <dataValidation type="list" allowBlank="1" showInputMessage="1" showErrorMessage="1" sqref="G3:H10 G12:H13 G15:H17 G19:H25 G27:H30 G32:H36 G38:H39 G41:H48 G50:H51 G53:H55 G57:H63 G65:H68 G70:H74 G76:H77 G79:H84 G86:H92" xr:uid="{00000000-0002-0000-0100-000000000000}">
      <formula1>"Si,No"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I117"/>
  <sheetViews>
    <sheetView workbookViewId="0">
      <pane ySplit="1" topLeftCell="A95" activePane="bottomLeft" state="frozen"/>
      <selection pane="bottomLeft" activeCell="I105" sqref="I105"/>
    </sheetView>
  </sheetViews>
  <sheetFormatPr baseColWidth="10" defaultColWidth="9.140625" defaultRowHeight="15"/>
  <cols>
    <col min="1" max="1" width="9.140625" style="6" customWidth="1"/>
    <col min="2" max="2" width="30.42578125" style="6" customWidth="1"/>
    <col min="3" max="3" width="59" style="6" customWidth="1"/>
    <col min="4" max="4" width="31.5703125" style="6" customWidth="1"/>
    <col min="5" max="5" width="50.85546875" style="6" customWidth="1"/>
    <col min="6" max="6" width="36.28515625" style="6" customWidth="1"/>
    <col min="7" max="7" width="15.85546875" style="6" customWidth="1"/>
    <col min="8" max="8" width="14.5703125" style="12" customWidth="1"/>
    <col min="9" max="9" width="14.5703125" style="6" customWidth="1"/>
    <col min="10" max="16384" width="9.140625" style="6"/>
  </cols>
  <sheetData>
    <row r="1" spans="1:9" ht="30">
      <c r="A1" s="14" t="s">
        <v>12</v>
      </c>
      <c r="B1" s="14" t="s">
        <v>13</v>
      </c>
      <c r="C1" s="14" t="s">
        <v>14</v>
      </c>
      <c r="D1" s="14" t="s">
        <v>15</v>
      </c>
      <c r="E1" s="14" t="s">
        <v>16</v>
      </c>
      <c r="F1" s="14" t="s">
        <v>17</v>
      </c>
      <c r="G1" s="1" t="s">
        <v>18</v>
      </c>
      <c r="H1" s="1" t="s">
        <v>19</v>
      </c>
      <c r="I1" s="1" t="s">
        <v>582</v>
      </c>
    </row>
    <row r="2" spans="1:9" ht="23.25" customHeight="1">
      <c r="A2" s="52" t="s">
        <v>20</v>
      </c>
      <c r="B2" s="53"/>
      <c r="C2" s="53"/>
      <c r="D2" s="53"/>
      <c r="E2" s="53"/>
      <c r="F2" s="53"/>
      <c r="G2" s="53"/>
      <c r="H2" s="54"/>
    </row>
    <row r="3" spans="1:9" ht="76.5" customHeight="1">
      <c r="A3" s="18" t="s">
        <v>161</v>
      </c>
      <c r="B3" s="56" t="s">
        <v>162</v>
      </c>
      <c r="C3" s="18" t="s">
        <v>163</v>
      </c>
      <c r="D3" s="18" t="s">
        <v>164</v>
      </c>
      <c r="E3" s="18" t="s">
        <v>165</v>
      </c>
      <c r="F3" s="18" t="s">
        <v>166</v>
      </c>
      <c r="G3" s="12" t="s">
        <v>27</v>
      </c>
      <c r="H3" s="12" t="s">
        <v>27</v>
      </c>
      <c r="I3" s="12" t="s">
        <v>27</v>
      </c>
    </row>
    <row r="4" spans="1:9" ht="91.5" customHeight="1">
      <c r="A4" s="18" t="s">
        <v>167</v>
      </c>
      <c r="B4" s="53"/>
      <c r="C4" s="18" t="s">
        <v>168</v>
      </c>
      <c r="D4" s="18"/>
      <c r="E4" s="18" t="s">
        <v>169</v>
      </c>
      <c r="F4" s="18" t="s">
        <v>170</v>
      </c>
      <c r="G4" s="12" t="s">
        <v>28</v>
      </c>
      <c r="H4" s="12" t="s">
        <v>27</v>
      </c>
      <c r="I4" s="12" t="s">
        <v>27</v>
      </c>
    </row>
    <row r="5" spans="1:9" ht="76.5" customHeight="1">
      <c r="A5" s="18" t="s">
        <v>171</v>
      </c>
      <c r="B5" s="53"/>
      <c r="C5" s="18" t="s">
        <v>172</v>
      </c>
      <c r="D5" s="18" t="s">
        <v>173</v>
      </c>
      <c r="E5" s="18" t="s">
        <v>174</v>
      </c>
      <c r="F5" s="18" t="s">
        <v>175</v>
      </c>
      <c r="G5" s="12" t="s">
        <v>28</v>
      </c>
      <c r="H5" s="12" t="s">
        <v>27</v>
      </c>
      <c r="I5" s="12" t="s">
        <v>27</v>
      </c>
    </row>
    <row r="6" spans="1:9" ht="76.5" customHeight="1">
      <c r="A6" s="18" t="s">
        <v>176</v>
      </c>
      <c r="B6" s="53"/>
      <c r="C6" s="18" t="s">
        <v>177</v>
      </c>
      <c r="D6" s="18"/>
      <c r="E6" s="18" t="s">
        <v>174</v>
      </c>
      <c r="F6" s="18" t="s">
        <v>178</v>
      </c>
      <c r="G6" s="12" t="s">
        <v>27</v>
      </c>
      <c r="H6" s="12" t="s">
        <v>27</v>
      </c>
      <c r="I6" s="12" t="s">
        <v>27</v>
      </c>
    </row>
    <row r="7" spans="1:9" ht="76.5" customHeight="1">
      <c r="A7" s="18" t="s">
        <v>179</v>
      </c>
      <c r="B7" s="53"/>
      <c r="C7" s="18" t="s">
        <v>95</v>
      </c>
      <c r="D7" s="18"/>
      <c r="E7" s="18" t="s">
        <v>180</v>
      </c>
      <c r="F7" s="18" t="s">
        <v>181</v>
      </c>
      <c r="G7" s="12" t="s">
        <v>28</v>
      </c>
      <c r="H7" s="12" t="s">
        <v>27</v>
      </c>
      <c r="I7" s="12" t="s">
        <v>27</v>
      </c>
    </row>
    <row r="8" spans="1:9">
      <c r="A8" s="19"/>
      <c r="B8" s="20"/>
      <c r="C8" s="20"/>
      <c r="D8" s="20"/>
      <c r="E8" s="20"/>
      <c r="F8" s="20"/>
      <c r="G8" s="19"/>
      <c r="H8" s="19"/>
    </row>
    <row r="9" spans="1:9" ht="76.5" customHeight="1">
      <c r="A9" s="22" t="s">
        <v>161</v>
      </c>
      <c r="B9" s="55" t="s">
        <v>182</v>
      </c>
      <c r="C9" s="22" t="s">
        <v>183</v>
      </c>
      <c r="D9" s="22" t="s">
        <v>164</v>
      </c>
      <c r="E9" s="22" t="s">
        <v>184</v>
      </c>
      <c r="F9" s="22" t="s">
        <v>185</v>
      </c>
      <c r="G9" s="12" t="s">
        <v>27</v>
      </c>
      <c r="H9" s="12" t="s">
        <v>27</v>
      </c>
      <c r="I9" s="12" t="s">
        <v>27</v>
      </c>
    </row>
    <row r="10" spans="1:9" ht="76.5" customHeight="1">
      <c r="A10" s="22" t="s">
        <v>167</v>
      </c>
      <c r="B10" s="53"/>
      <c r="C10" s="22" t="s">
        <v>186</v>
      </c>
      <c r="D10" s="22" t="s">
        <v>164</v>
      </c>
      <c r="E10" s="22" t="s">
        <v>187</v>
      </c>
      <c r="F10" s="22" t="s">
        <v>185</v>
      </c>
      <c r="G10" s="12" t="s">
        <v>27</v>
      </c>
      <c r="H10" s="12" t="s">
        <v>27</v>
      </c>
      <c r="I10" s="12" t="s">
        <v>27</v>
      </c>
    </row>
    <row r="11" spans="1:9" ht="76.5" customHeight="1">
      <c r="A11" s="22" t="s">
        <v>171</v>
      </c>
      <c r="B11" s="53"/>
      <c r="C11" s="22" t="s">
        <v>188</v>
      </c>
      <c r="D11" s="22" t="s">
        <v>164</v>
      </c>
      <c r="E11" s="22" t="s">
        <v>189</v>
      </c>
      <c r="F11" s="22" t="s">
        <v>190</v>
      </c>
      <c r="G11" s="12" t="s">
        <v>27</v>
      </c>
      <c r="H11" s="12" t="s">
        <v>27</v>
      </c>
      <c r="I11" s="12" t="s">
        <v>27</v>
      </c>
    </row>
    <row r="12" spans="1:9" ht="76.5" customHeight="1">
      <c r="A12" s="22" t="s">
        <v>176</v>
      </c>
      <c r="B12" s="53"/>
      <c r="C12" s="22" t="s">
        <v>95</v>
      </c>
      <c r="D12" s="22"/>
      <c r="E12" s="22" t="s">
        <v>191</v>
      </c>
      <c r="F12" s="22" t="s">
        <v>181</v>
      </c>
      <c r="G12" s="12" t="s">
        <v>28</v>
      </c>
      <c r="H12" s="12" t="s">
        <v>27</v>
      </c>
      <c r="I12" s="12" t="s">
        <v>27</v>
      </c>
    </row>
    <row r="13" spans="1:9">
      <c r="A13" s="19"/>
      <c r="B13" s="20"/>
      <c r="C13" s="20"/>
      <c r="D13" s="20"/>
      <c r="E13" s="20"/>
      <c r="F13" s="20"/>
      <c r="G13" s="19"/>
      <c r="H13" s="19"/>
    </row>
    <row r="14" spans="1:9" ht="106.5" customHeight="1">
      <c r="A14" s="18" t="s">
        <v>161</v>
      </c>
      <c r="B14" s="56" t="s">
        <v>192</v>
      </c>
      <c r="C14" s="18" t="s">
        <v>95</v>
      </c>
      <c r="D14" s="18" t="s">
        <v>193</v>
      </c>
      <c r="E14" s="18" t="s">
        <v>194</v>
      </c>
      <c r="F14" s="18" t="s">
        <v>195</v>
      </c>
      <c r="G14" s="12" t="s">
        <v>28</v>
      </c>
      <c r="H14" s="12" t="s">
        <v>27</v>
      </c>
      <c r="I14" s="12" t="s">
        <v>27</v>
      </c>
    </row>
    <row r="15" spans="1:9" ht="106.5" customHeight="1">
      <c r="A15" s="18" t="s">
        <v>167</v>
      </c>
      <c r="B15" s="53"/>
      <c r="C15" s="18" t="s">
        <v>91</v>
      </c>
      <c r="D15" s="18" t="s">
        <v>193</v>
      </c>
      <c r="E15" s="18" t="s">
        <v>196</v>
      </c>
      <c r="F15" s="18" t="s">
        <v>197</v>
      </c>
      <c r="G15" s="12" t="s">
        <v>28</v>
      </c>
      <c r="H15" s="12" t="s">
        <v>27</v>
      </c>
      <c r="I15" s="12" t="s">
        <v>27</v>
      </c>
    </row>
    <row r="16" spans="1:9" ht="121.5" customHeight="1">
      <c r="A16" s="18" t="s">
        <v>171</v>
      </c>
      <c r="B16" s="53"/>
      <c r="C16" s="18" t="s">
        <v>198</v>
      </c>
      <c r="D16" s="18" t="s">
        <v>193</v>
      </c>
      <c r="E16" s="18" t="s">
        <v>199</v>
      </c>
      <c r="F16" s="18" t="s">
        <v>200</v>
      </c>
      <c r="G16" s="12" t="s">
        <v>27</v>
      </c>
      <c r="H16" s="12" t="s">
        <v>27</v>
      </c>
      <c r="I16" s="12" t="s">
        <v>27</v>
      </c>
    </row>
    <row r="17" spans="1:9" ht="121.5" customHeight="1">
      <c r="A17" s="18" t="s">
        <v>176</v>
      </c>
      <c r="B17" s="53"/>
      <c r="C17" s="18" t="s">
        <v>201</v>
      </c>
      <c r="D17" s="18" t="s">
        <v>202</v>
      </c>
      <c r="E17" s="18" t="s">
        <v>203</v>
      </c>
      <c r="F17" s="18" t="s">
        <v>204</v>
      </c>
      <c r="G17" s="12" t="s">
        <v>27</v>
      </c>
      <c r="H17" s="12" t="s">
        <v>27</v>
      </c>
      <c r="I17" s="12" t="s">
        <v>27</v>
      </c>
    </row>
    <row r="18" spans="1:9" ht="121.5" customHeight="1">
      <c r="A18" s="18" t="s">
        <v>179</v>
      </c>
      <c r="B18" s="53"/>
      <c r="C18" s="18" t="s">
        <v>205</v>
      </c>
      <c r="D18" s="18" t="s">
        <v>193</v>
      </c>
      <c r="E18" s="18" t="s">
        <v>206</v>
      </c>
      <c r="F18" s="18" t="s">
        <v>207</v>
      </c>
      <c r="G18" s="12" t="s">
        <v>27</v>
      </c>
      <c r="H18" s="12" t="s">
        <v>27</v>
      </c>
      <c r="I18" s="12" t="s">
        <v>27</v>
      </c>
    </row>
    <row r="19" spans="1:9">
      <c r="A19" s="19"/>
      <c r="B19" s="20"/>
      <c r="C19" s="20"/>
      <c r="D19" s="20"/>
      <c r="E19" s="20"/>
      <c r="F19" s="20"/>
      <c r="G19" s="19"/>
      <c r="H19" s="19"/>
    </row>
    <row r="20" spans="1:9" ht="60">
      <c r="A20" s="6" t="s">
        <v>161</v>
      </c>
      <c r="B20" s="54" t="s">
        <v>612</v>
      </c>
      <c r="C20" s="6" t="s">
        <v>592</v>
      </c>
      <c r="D20" s="6" t="s">
        <v>593</v>
      </c>
      <c r="E20" s="6" t="s">
        <v>594</v>
      </c>
      <c r="F20" s="6" t="s">
        <v>595</v>
      </c>
      <c r="G20" s="12" t="s">
        <v>27</v>
      </c>
      <c r="H20" s="12" t="s">
        <v>27</v>
      </c>
      <c r="I20" s="12" t="s">
        <v>27</v>
      </c>
    </row>
    <row r="21" spans="1:9" ht="60">
      <c r="A21" s="6" t="s">
        <v>167</v>
      </c>
      <c r="B21" s="53"/>
      <c r="C21" s="6" t="s">
        <v>596</v>
      </c>
      <c r="D21" s="6" t="s">
        <v>597</v>
      </c>
      <c r="E21" s="6" t="s">
        <v>598</v>
      </c>
      <c r="F21" s="6" t="s">
        <v>599</v>
      </c>
      <c r="G21" s="12" t="s">
        <v>27</v>
      </c>
      <c r="H21" s="12" t="s">
        <v>27</v>
      </c>
      <c r="I21" s="12" t="s">
        <v>27</v>
      </c>
    </row>
    <row r="22" spans="1:9" ht="60">
      <c r="A22" s="6" t="s">
        <v>171</v>
      </c>
      <c r="C22" s="6" t="s">
        <v>600</v>
      </c>
      <c r="D22" s="6" t="s">
        <v>601</v>
      </c>
      <c r="E22" s="6" t="s">
        <v>602</v>
      </c>
      <c r="F22" s="6" t="s">
        <v>603</v>
      </c>
      <c r="G22" s="12" t="s">
        <v>27</v>
      </c>
      <c r="H22" s="12" t="s">
        <v>27</v>
      </c>
      <c r="I22" s="12" t="s">
        <v>27</v>
      </c>
    </row>
    <row r="23" spans="1:9" ht="75">
      <c r="A23" s="6" t="s">
        <v>176</v>
      </c>
      <c r="C23" s="6" t="s">
        <v>604</v>
      </c>
      <c r="D23" s="6" t="s">
        <v>605</v>
      </c>
      <c r="E23" s="6" t="s">
        <v>606</v>
      </c>
      <c r="F23" s="6" t="s">
        <v>607</v>
      </c>
      <c r="G23" s="12" t="s">
        <v>27</v>
      </c>
      <c r="H23" s="12" t="s">
        <v>27</v>
      </c>
      <c r="I23" s="12" t="s">
        <v>27</v>
      </c>
    </row>
    <row r="24" spans="1:9" ht="60">
      <c r="A24" s="6" t="s">
        <v>179</v>
      </c>
      <c r="C24" s="6" t="s">
        <v>608</v>
      </c>
      <c r="D24" s="6" t="s">
        <v>601</v>
      </c>
      <c r="E24" s="6" t="s">
        <v>609</v>
      </c>
      <c r="F24" s="6" t="s">
        <v>610</v>
      </c>
      <c r="G24" s="12" t="s">
        <v>27</v>
      </c>
      <c r="H24" s="12" t="s">
        <v>27</v>
      </c>
      <c r="I24" s="12" t="s">
        <v>27</v>
      </c>
    </row>
    <row r="25" spans="1:9">
      <c r="A25" s="19"/>
      <c r="B25" s="20"/>
      <c r="C25" s="20"/>
      <c r="D25" s="20"/>
      <c r="E25" s="20"/>
      <c r="F25" s="20"/>
      <c r="G25" s="19"/>
      <c r="H25" s="19"/>
    </row>
    <row r="26" spans="1:9">
      <c r="A26" s="6" t="s">
        <v>161</v>
      </c>
      <c r="B26" s="54" t="s">
        <v>208</v>
      </c>
      <c r="C26" s="6" t="s">
        <v>209</v>
      </c>
      <c r="G26" s="12" t="s">
        <v>27</v>
      </c>
      <c r="H26" s="12" t="s">
        <v>28</v>
      </c>
      <c r="I26" s="12" t="s">
        <v>27</v>
      </c>
    </row>
    <row r="27" spans="1:9">
      <c r="A27" s="6" t="s">
        <v>167</v>
      </c>
      <c r="B27" s="53"/>
      <c r="C27" s="6" t="s">
        <v>168</v>
      </c>
      <c r="G27" s="12" t="s">
        <v>28</v>
      </c>
      <c r="H27" s="12" t="s">
        <v>28</v>
      </c>
      <c r="I27" s="12" t="s">
        <v>27</v>
      </c>
    </row>
    <row r="28" spans="1:9">
      <c r="A28" s="6" t="s">
        <v>171</v>
      </c>
      <c r="B28" s="53"/>
      <c r="C28" s="6" t="s">
        <v>210</v>
      </c>
      <c r="G28" s="12" t="s">
        <v>28</v>
      </c>
      <c r="H28" s="12" t="s">
        <v>28</v>
      </c>
      <c r="I28" s="12" t="s">
        <v>27</v>
      </c>
    </row>
    <row r="29" spans="1:9">
      <c r="A29" s="6" t="s">
        <v>176</v>
      </c>
      <c r="B29" s="53"/>
      <c r="C29" s="6" t="s">
        <v>211</v>
      </c>
      <c r="G29" s="12" t="s">
        <v>28</v>
      </c>
      <c r="H29" s="12" t="s">
        <v>28</v>
      </c>
      <c r="I29" s="12" t="s">
        <v>27</v>
      </c>
    </row>
    <row r="30" spans="1:9">
      <c r="A30" s="6" t="s">
        <v>179</v>
      </c>
      <c r="B30" s="53"/>
      <c r="C30" s="6" t="s">
        <v>212</v>
      </c>
      <c r="G30" s="12" t="s">
        <v>27</v>
      </c>
      <c r="H30" s="12" t="s">
        <v>28</v>
      </c>
      <c r="I30" s="12" t="s">
        <v>27</v>
      </c>
    </row>
    <row r="31" spans="1:9" ht="23.25" customHeight="1">
      <c r="A31" s="52" t="s">
        <v>213</v>
      </c>
      <c r="B31" s="53"/>
      <c r="C31" s="53"/>
      <c r="D31" s="53"/>
      <c r="E31" s="53"/>
      <c r="F31" s="53"/>
      <c r="G31" s="53"/>
      <c r="H31" s="54"/>
    </row>
    <row r="32" spans="1:9" ht="76.5" customHeight="1">
      <c r="A32" s="18" t="s">
        <v>161</v>
      </c>
      <c r="B32" s="56" t="s">
        <v>162</v>
      </c>
      <c r="C32" s="18" t="s">
        <v>163</v>
      </c>
      <c r="D32" s="18" t="s">
        <v>164</v>
      </c>
      <c r="E32" s="18" t="s">
        <v>165</v>
      </c>
      <c r="F32" s="18" t="s">
        <v>166</v>
      </c>
      <c r="G32" s="12" t="s">
        <v>27</v>
      </c>
      <c r="H32" s="12" t="s">
        <v>27</v>
      </c>
      <c r="I32" s="12" t="s">
        <v>27</v>
      </c>
    </row>
    <row r="33" spans="1:9" ht="91.5" customHeight="1">
      <c r="A33" s="18" t="s">
        <v>167</v>
      </c>
      <c r="B33" s="53"/>
      <c r="C33" s="18" t="s">
        <v>168</v>
      </c>
      <c r="D33" s="18"/>
      <c r="E33" s="18" t="s">
        <v>169</v>
      </c>
      <c r="F33" s="18" t="s">
        <v>170</v>
      </c>
      <c r="G33" s="12" t="s">
        <v>28</v>
      </c>
      <c r="H33" s="12" t="s">
        <v>27</v>
      </c>
      <c r="I33" s="12" t="s">
        <v>27</v>
      </c>
    </row>
    <row r="34" spans="1:9" ht="76.5" customHeight="1">
      <c r="A34" s="18" t="s">
        <v>171</v>
      </c>
      <c r="B34" s="53"/>
      <c r="C34" s="18" t="s">
        <v>172</v>
      </c>
      <c r="D34" s="18" t="s">
        <v>173</v>
      </c>
      <c r="E34" s="18" t="s">
        <v>174</v>
      </c>
      <c r="F34" s="18" t="s">
        <v>175</v>
      </c>
      <c r="G34" s="12" t="s">
        <v>28</v>
      </c>
      <c r="H34" s="12" t="s">
        <v>27</v>
      </c>
      <c r="I34" s="12" t="s">
        <v>27</v>
      </c>
    </row>
    <row r="35" spans="1:9" ht="76.5" customHeight="1">
      <c r="A35" s="18" t="s">
        <v>176</v>
      </c>
      <c r="B35" s="53"/>
      <c r="C35" s="18" t="s">
        <v>177</v>
      </c>
      <c r="D35" s="18"/>
      <c r="E35" s="18" t="s">
        <v>174</v>
      </c>
      <c r="F35" s="18" t="s">
        <v>178</v>
      </c>
      <c r="G35" s="12" t="s">
        <v>27</v>
      </c>
      <c r="H35" s="12" t="s">
        <v>27</v>
      </c>
      <c r="I35" s="12" t="s">
        <v>27</v>
      </c>
    </row>
    <row r="36" spans="1:9" ht="76.5" customHeight="1">
      <c r="A36" s="18" t="s">
        <v>179</v>
      </c>
      <c r="B36" s="53"/>
      <c r="C36" s="18" t="s">
        <v>95</v>
      </c>
      <c r="D36" s="18"/>
      <c r="E36" s="18" t="s">
        <v>180</v>
      </c>
      <c r="F36" s="18" t="s">
        <v>181</v>
      </c>
      <c r="G36" s="12" t="s">
        <v>28</v>
      </c>
      <c r="H36" s="12" t="s">
        <v>27</v>
      </c>
      <c r="I36" s="12" t="s">
        <v>27</v>
      </c>
    </row>
    <row r="37" spans="1:9">
      <c r="A37" s="19"/>
      <c r="B37" s="20"/>
      <c r="C37" s="20"/>
      <c r="D37" s="20"/>
      <c r="E37" s="20"/>
      <c r="F37" s="20"/>
      <c r="G37" s="19"/>
      <c r="H37" s="19"/>
    </row>
    <row r="38" spans="1:9" ht="76.5" customHeight="1">
      <c r="A38" s="22" t="s">
        <v>161</v>
      </c>
      <c r="B38" s="55" t="s">
        <v>182</v>
      </c>
      <c r="C38" s="22" t="s">
        <v>183</v>
      </c>
      <c r="D38" s="22" t="s">
        <v>164</v>
      </c>
      <c r="E38" s="22" t="s">
        <v>184</v>
      </c>
      <c r="F38" s="22" t="s">
        <v>185</v>
      </c>
      <c r="G38" s="12" t="s">
        <v>27</v>
      </c>
      <c r="H38" s="12" t="s">
        <v>27</v>
      </c>
      <c r="I38" s="12" t="s">
        <v>27</v>
      </c>
    </row>
    <row r="39" spans="1:9" ht="76.5" customHeight="1">
      <c r="A39" s="22" t="s">
        <v>167</v>
      </c>
      <c r="B39" s="53"/>
      <c r="C39" s="22" t="s">
        <v>186</v>
      </c>
      <c r="D39" s="22" t="s">
        <v>164</v>
      </c>
      <c r="E39" s="22" t="s">
        <v>187</v>
      </c>
      <c r="F39" s="22" t="s">
        <v>185</v>
      </c>
      <c r="G39" s="12" t="s">
        <v>27</v>
      </c>
      <c r="H39" s="12" t="s">
        <v>27</v>
      </c>
      <c r="I39" s="12" t="s">
        <v>27</v>
      </c>
    </row>
    <row r="40" spans="1:9" ht="76.5" customHeight="1">
      <c r="A40" s="22" t="s">
        <v>171</v>
      </c>
      <c r="B40" s="53"/>
      <c r="C40" s="22" t="s">
        <v>188</v>
      </c>
      <c r="D40" s="22" t="s">
        <v>164</v>
      </c>
      <c r="E40" s="22" t="s">
        <v>189</v>
      </c>
      <c r="F40" s="22" t="s">
        <v>190</v>
      </c>
      <c r="G40" s="12" t="s">
        <v>27</v>
      </c>
      <c r="H40" s="12" t="s">
        <v>27</v>
      </c>
      <c r="I40" s="12" t="s">
        <v>27</v>
      </c>
    </row>
    <row r="41" spans="1:9" ht="76.5" customHeight="1">
      <c r="A41" s="22" t="s">
        <v>176</v>
      </c>
      <c r="B41" s="53"/>
      <c r="C41" s="22" t="s">
        <v>95</v>
      </c>
      <c r="D41" s="22"/>
      <c r="E41" s="22" t="s">
        <v>191</v>
      </c>
      <c r="F41" s="22" t="s">
        <v>181</v>
      </c>
      <c r="G41" s="12" t="s">
        <v>28</v>
      </c>
      <c r="H41" s="12" t="s">
        <v>27</v>
      </c>
      <c r="I41" s="12" t="s">
        <v>27</v>
      </c>
    </row>
    <row r="42" spans="1:9">
      <c r="A42" s="19"/>
      <c r="B42" s="20"/>
      <c r="C42" s="20"/>
      <c r="D42" s="20"/>
      <c r="E42" s="20"/>
      <c r="F42" s="20"/>
      <c r="G42" s="19"/>
      <c r="H42" s="19"/>
    </row>
    <row r="43" spans="1:9" ht="106.5" customHeight="1">
      <c r="A43" s="18" t="s">
        <v>161</v>
      </c>
      <c r="B43" s="56" t="s">
        <v>192</v>
      </c>
      <c r="C43" s="18" t="s">
        <v>95</v>
      </c>
      <c r="D43" s="18" t="s">
        <v>193</v>
      </c>
      <c r="E43" s="18" t="s">
        <v>194</v>
      </c>
      <c r="F43" s="18" t="s">
        <v>195</v>
      </c>
      <c r="G43" s="12" t="s">
        <v>28</v>
      </c>
      <c r="H43" s="12" t="s">
        <v>27</v>
      </c>
      <c r="I43" s="12" t="s">
        <v>27</v>
      </c>
    </row>
    <row r="44" spans="1:9" ht="106.5" customHeight="1">
      <c r="A44" s="18" t="s">
        <v>167</v>
      </c>
      <c r="B44" s="53"/>
      <c r="C44" s="18" t="s">
        <v>91</v>
      </c>
      <c r="D44" s="18" t="s">
        <v>193</v>
      </c>
      <c r="E44" s="18" t="s">
        <v>196</v>
      </c>
      <c r="F44" s="18" t="s">
        <v>197</v>
      </c>
      <c r="G44" s="12" t="s">
        <v>28</v>
      </c>
      <c r="H44" s="12" t="s">
        <v>27</v>
      </c>
      <c r="I44" s="12" t="s">
        <v>27</v>
      </c>
    </row>
    <row r="45" spans="1:9" ht="121.5" customHeight="1">
      <c r="A45" s="18" t="s">
        <v>171</v>
      </c>
      <c r="B45" s="53"/>
      <c r="C45" s="18" t="s">
        <v>198</v>
      </c>
      <c r="D45" s="18" t="s">
        <v>193</v>
      </c>
      <c r="E45" s="18" t="s">
        <v>199</v>
      </c>
      <c r="F45" s="18" t="s">
        <v>200</v>
      </c>
      <c r="G45" s="12" t="s">
        <v>27</v>
      </c>
      <c r="H45" s="12" t="s">
        <v>27</v>
      </c>
      <c r="I45" s="12" t="s">
        <v>27</v>
      </c>
    </row>
    <row r="46" spans="1:9" ht="121.5" customHeight="1">
      <c r="A46" s="18" t="s">
        <v>176</v>
      </c>
      <c r="B46" s="53"/>
      <c r="C46" s="18" t="s">
        <v>201</v>
      </c>
      <c r="D46" s="18" t="s">
        <v>202</v>
      </c>
      <c r="E46" s="18" t="s">
        <v>203</v>
      </c>
      <c r="F46" s="18" t="s">
        <v>204</v>
      </c>
      <c r="G46" s="12" t="s">
        <v>27</v>
      </c>
      <c r="H46" s="12" t="s">
        <v>27</v>
      </c>
      <c r="I46" s="12" t="s">
        <v>27</v>
      </c>
    </row>
    <row r="47" spans="1:9" ht="121.5" customHeight="1">
      <c r="A47" s="18" t="s">
        <v>179</v>
      </c>
      <c r="B47" s="53"/>
      <c r="C47" s="18" t="s">
        <v>205</v>
      </c>
      <c r="D47" s="18" t="s">
        <v>193</v>
      </c>
      <c r="E47" s="18" t="s">
        <v>206</v>
      </c>
      <c r="F47" s="18" t="s">
        <v>207</v>
      </c>
      <c r="G47" s="12" t="s">
        <v>27</v>
      </c>
      <c r="H47" s="12" t="s">
        <v>27</v>
      </c>
      <c r="I47" s="12" t="s">
        <v>27</v>
      </c>
    </row>
    <row r="48" spans="1:9">
      <c r="A48" s="19"/>
      <c r="B48" s="20"/>
      <c r="C48" s="20"/>
      <c r="D48" s="20"/>
      <c r="E48" s="20"/>
      <c r="F48" s="20"/>
      <c r="G48" s="19"/>
      <c r="H48" s="19"/>
    </row>
    <row r="49" spans="1:9" ht="60">
      <c r="A49" s="6" t="s">
        <v>161</v>
      </c>
      <c r="B49" s="54" t="s">
        <v>612</v>
      </c>
      <c r="C49" s="6" t="s">
        <v>592</v>
      </c>
      <c r="D49" s="6" t="s">
        <v>593</v>
      </c>
      <c r="E49" s="6" t="s">
        <v>594</v>
      </c>
      <c r="F49" s="6" t="s">
        <v>595</v>
      </c>
      <c r="G49" s="12" t="s">
        <v>27</v>
      </c>
      <c r="H49" s="12" t="s">
        <v>27</v>
      </c>
      <c r="I49" s="12" t="s">
        <v>27</v>
      </c>
    </row>
    <row r="50" spans="1:9" ht="60">
      <c r="A50" s="6" t="s">
        <v>167</v>
      </c>
      <c r="B50" s="53"/>
      <c r="C50" s="6" t="s">
        <v>596</v>
      </c>
      <c r="D50" s="6" t="s">
        <v>597</v>
      </c>
      <c r="E50" s="6" t="s">
        <v>598</v>
      </c>
      <c r="F50" s="6" t="s">
        <v>599</v>
      </c>
      <c r="G50" s="12" t="s">
        <v>27</v>
      </c>
      <c r="H50" s="12" t="s">
        <v>27</v>
      </c>
      <c r="I50" s="12" t="s">
        <v>27</v>
      </c>
    </row>
    <row r="51" spans="1:9" ht="60">
      <c r="A51" s="6" t="s">
        <v>171</v>
      </c>
      <c r="C51" s="6" t="s">
        <v>600</v>
      </c>
      <c r="D51" s="6" t="s">
        <v>601</v>
      </c>
      <c r="E51" s="6" t="s">
        <v>602</v>
      </c>
      <c r="F51" s="6" t="s">
        <v>603</v>
      </c>
      <c r="G51" s="12" t="s">
        <v>27</v>
      </c>
      <c r="H51" s="12" t="s">
        <v>27</v>
      </c>
      <c r="I51" s="12" t="s">
        <v>27</v>
      </c>
    </row>
    <row r="52" spans="1:9" ht="75">
      <c r="A52" s="6" t="s">
        <v>176</v>
      </c>
      <c r="C52" s="6" t="s">
        <v>604</v>
      </c>
      <c r="D52" s="6" t="s">
        <v>605</v>
      </c>
      <c r="E52" s="6" t="s">
        <v>606</v>
      </c>
      <c r="F52" s="6" t="s">
        <v>607</v>
      </c>
      <c r="G52" s="12" t="s">
        <v>27</v>
      </c>
      <c r="H52" s="12" t="s">
        <v>27</v>
      </c>
      <c r="I52" s="12" t="s">
        <v>27</v>
      </c>
    </row>
    <row r="53" spans="1:9" ht="60">
      <c r="A53" s="6" t="s">
        <v>179</v>
      </c>
      <c r="C53" s="6" t="s">
        <v>608</v>
      </c>
      <c r="D53" s="6" t="s">
        <v>601</v>
      </c>
      <c r="E53" s="6" t="s">
        <v>609</v>
      </c>
      <c r="F53" s="6" t="s">
        <v>610</v>
      </c>
      <c r="G53" s="12" t="s">
        <v>27</v>
      </c>
      <c r="H53" s="12" t="s">
        <v>27</v>
      </c>
      <c r="I53" s="12" t="s">
        <v>27</v>
      </c>
    </row>
    <row r="54" spans="1:9">
      <c r="A54" s="19"/>
      <c r="B54" s="20"/>
      <c r="C54" s="20"/>
      <c r="D54" s="20"/>
      <c r="E54" s="20"/>
      <c r="F54" s="20"/>
      <c r="G54" s="19"/>
      <c r="H54" s="19"/>
    </row>
    <row r="55" spans="1:9">
      <c r="A55" s="6" t="s">
        <v>161</v>
      </c>
      <c r="B55" s="54" t="s">
        <v>208</v>
      </c>
      <c r="C55" s="6" t="s">
        <v>209</v>
      </c>
      <c r="G55" s="12" t="s">
        <v>27</v>
      </c>
      <c r="H55" s="12" t="s">
        <v>28</v>
      </c>
      <c r="I55" s="12" t="s">
        <v>27</v>
      </c>
    </row>
    <row r="56" spans="1:9">
      <c r="A56" s="6" t="s">
        <v>167</v>
      </c>
      <c r="B56" s="53"/>
      <c r="C56" s="6" t="s">
        <v>168</v>
      </c>
      <c r="G56" s="12" t="s">
        <v>28</v>
      </c>
      <c r="H56" s="12" t="s">
        <v>28</v>
      </c>
      <c r="I56" s="12" t="s">
        <v>27</v>
      </c>
    </row>
    <row r="57" spans="1:9">
      <c r="A57" s="6" t="s">
        <v>171</v>
      </c>
      <c r="B57" s="53"/>
      <c r="C57" s="6" t="s">
        <v>210</v>
      </c>
      <c r="G57" s="12" t="s">
        <v>28</v>
      </c>
      <c r="H57" s="12" t="s">
        <v>28</v>
      </c>
      <c r="I57" s="12" t="s">
        <v>27</v>
      </c>
    </row>
    <row r="58" spans="1:9">
      <c r="A58" s="6" t="s">
        <v>176</v>
      </c>
      <c r="B58" s="53"/>
      <c r="C58" s="6" t="s">
        <v>211</v>
      </c>
      <c r="G58" s="12" t="s">
        <v>28</v>
      </c>
      <c r="H58" s="12" t="s">
        <v>28</v>
      </c>
      <c r="I58" s="12" t="s">
        <v>27</v>
      </c>
    </row>
    <row r="59" spans="1:9">
      <c r="A59" s="6" t="s">
        <v>179</v>
      </c>
      <c r="B59" s="53"/>
      <c r="C59" s="6" t="s">
        <v>212</v>
      </c>
      <c r="G59" s="12" t="s">
        <v>27</v>
      </c>
      <c r="H59" s="12" t="s">
        <v>28</v>
      </c>
      <c r="I59" s="12" t="s">
        <v>27</v>
      </c>
    </row>
    <row r="60" spans="1:9" ht="23.25" customHeight="1">
      <c r="A60" s="52" t="s">
        <v>140</v>
      </c>
      <c r="B60" s="53"/>
      <c r="C60" s="53"/>
      <c r="D60" s="53"/>
      <c r="E60" s="53"/>
      <c r="F60" s="53"/>
      <c r="G60" s="53"/>
      <c r="H60" s="54"/>
    </row>
    <row r="61" spans="1:9" ht="76.5" customHeight="1">
      <c r="A61" s="18" t="s">
        <v>161</v>
      </c>
      <c r="B61" s="56" t="s">
        <v>162</v>
      </c>
      <c r="C61" s="18" t="s">
        <v>163</v>
      </c>
      <c r="D61" s="18" t="s">
        <v>164</v>
      </c>
      <c r="E61" s="18" t="s">
        <v>165</v>
      </c>
      <c r="F61" s="18" t="s">
        <v>166</v>
      </c>
      <c r="G61" s="12" t="s">
        <v>27</v>
      </c>
      <c r="H61" s="12" t="s">
        <v>27</v>
      </c>
      <c r="I61" s="12" t="s">
        <v>27</v>
      </c>
    </row>
    <row r="62" spans="1:9" ht="91.5" customHeight="1">
      <c r="A62" s="18" t="s">
        <v>167</v>
      </c>
      <c r="B62" s="53"/>
      <c r="C62" s="18" t="s">
        <v>168</v>
      </c>
      <c r="D62" s="18"/>
      <c r="E62" s="18" t="s">
        <v>169</v>
      </c>
      <c r="F62" s="18" t="s">
        <v>170</v>
      </c>
      <c r="G62" s="12" t="s">
        <v>28</v>
      </c>
      <c r="H62" s="12" t="s">
        <v>27</v>
      </c>
      <c r="I62" s="12" t="s">
        <v>27</v>
      </c>
    </row>
    <row r="63" spans="1:9" ht="76.5" customHeight="1">
      <c r="A63" s="18" t="s">
        <v>171</v>
      </c>
      <c r="B63" s="53"/>
      <c r="C63" s="18" t="s">
        <v>172</v>
      </c>
      <c r="D63" s="18" t="s">
        <v>173</v>
      </c>
      <c r="E63" s="18" t="s">
        <v>174</v>
      </c>
      <c r="F63" s="18" t="s">
        <v>175</v>
      </c>
      <c r="G63" s="12" t="s">
        <v>28</v>
      </c>
      <c r="H63" s="12" t="s">
        <v>27</v>
      </c>
      <c r="I63" s="12" t="s">
        <v>27</v>
      </c>
    </row>
    <row r="64" spans="1:9" ht="76.5" customHeight="1">
      <c r="A64" s="18" t="s">
        <v>176</v>
      </c>
      <c r="B64" s="53"/>
      <c r="C64" s="18" t="s">
        <v>177</v>
      </c>
      <c r="D64" s="18"/>
      <c r="E64" s="18" t="s">
        <v>174</v>
      </c>
      <c r="F64" s="18" t="s">
        <v>178</v>
      </c>
      <c r="G64" s="12" t="s">
        <v>27</v>
      </c>
      <c r="H64" s="12" t="s">
        <v>27</v>
      </c>
      <c r="I64" s="12" t="s">
        <v>27</v>
      </c>
    </row>
    <row r="65" spans="1:9" ht="76.5" customHeight="1">
      <c r="A65" s="18" t="s">
        <v>179</v>
      </c>
      <c r="B65" s="53"/>
      <c r="C65" s="18" t="s">
        <v>95</v>
      </c>
      <c r="D65" s="18"/>
      <c r="E65" s="18" t="s">
        <v>180</v>
      </c>
      <c r="F65" s="18" t="s">
        <v>181</v>
      </c>
      <c r="G65" s="12" t="s">
        <v>28</v>
      </c>
      <c r="H65" s="12" t="s">
        <v>27</v>
      </c>
      <c r="I65" s="12" t="s">
        <v>27</v>
      </c>
    </row>
    <row r="66" spans="1:9">
      <c r="A66" s="19"/>
      <c r="B66" s="20"/>
      <c r="C66" s="20"/>
      <c r="D66" s="20"/>
      <c r="E66" s="20"/>
      <c r="F66" s="20"/>
      <c r="G66" s="19"/>
      <c r="H66" s="19"/>
    </row>
    <row r="67" spans="1:9" ht="76.5" customHeight="1">
      <c r="A67" s="22" t="s">
        <v>161</v>
      </c>
      <c r="B67" s="55" t="s">
        <v>182</v>
      </c>
      <c r="C67" s="22" t="s">
        <v>183</v>
      </c>
      <c r="D67" s="22" t="s">
        <v>164</v>
      </c>
      <c r="E67" s="22" t="s">
        <v>184</v>
      </c>
      <c r="F67" s="22" t="s">
        <v>185</v>
      </c>
      <c r="G67" s="12" t="s">
        <v>27</v>
      </c>
      <c r="H67" s="12" t="s">
        <v>27</v>
      </c>
      <c r="I67" s="12" t="s">
        <v>27</v>
      </c>
    </row>
    <row r="68" spans="1:9" ht="76.5" customHeight="1">
      <c r="A68" s="22" t="s">
        <v>167</v>
      </c>
      <c r="B68" s="53"/>
      <c r="C68" s="22" t="s">
        <v>186</v>
      </c>
      <c r="D68" s="22" t="s">
        <v>164</v>
      </c>
      <c r="E68" s="22" t="s">
        <v>187</v>
      </c>
      <c r="F68" s="22" t="s">
        <v>185</v>
      </c>
      <c r="G68" s="12" t="s">
        <v>27</v>
      </c>
      <c r="H68" s="12" t="s">
        <v>27</v>
      </c>
      <c r="I68" s="12" t="s">
        <v>27</v>
      </c>
    </row>
    <row r="69" spans="1:9" ht="76.5" customHeight="1">
      <c r="A69" s="22" t="s">
        <v>171</v>
      </c>
      <c r="B69" s="53"/>
      <c r="C69" s="22" t="s">
        <v>188</v>
      </c>
      <c r="D69" s="22" t="s">
        <v>164</v>
      </c>
      <c r="E69" s="22" t="s">
        <v>189</v>
      </c>
      <c r="F69" s="22" t="s">
        <v>190</v>
      </c>
      <c r="G69" s="12" t="s">
        <v>27</v>
      </c>
      <c r="H69" s="12" t="s">
        <v>27</v>
      </c>
      <c r="I69" s="12" t="s">
        <v>27</v>
      </c>
    </row>
    <row r="70" spans="1:9" ht="76.5" customHeight="1">
      <c r="A70" s="22" t="s">
        <v>176</v>
      </c>
      <c r="B70" s="53"/>
      <c r="C70" s="22" t="s">
        <v>95</v>
      </c>
      <c r="D70" s="22"/>
      <c r="E70" s="22" t="s">
        <v>191</v>
      </c>
      <c r="F70" s="22" t="s">
        <v>181</v>
      </c>
      <c r="G70" s="12" t="s">
        <v>28</v>
      </c>
      <c r="H70" s="12" t="s">
        <v>27</v>
      </c>
      <c r="I70" s="12" t="s">
        <v>27</v>
      </c>
    </row>
    <row r="71" spans="1:9">
      <c r="A71" s="19"/>
      <c r="B71" s="20"/>
      <c r="C71" s="20"/>
      <c r="D71" s="20"/>
      <c r="E71" s="20"/>
      <c r="F71" s="20"/>
      <c r="G71" s="19"/>
      <c r="H71" s="19"/>
    </row>
    <row r="72" spans="1:9" ht="106.5" customHeight="1">
      <c r="A72" s="18" t="s">
        <v>161</v>
      </c>
      <c r="B72" s="56" t="s">
        <v>192</v>
      </c>
      <c r="C72" s="18" t="s">
        <v>95</v>
      </c>
      <c r="D72" s="18" t="s">
        <v>193</v>
      </c>
      <c r="E72" s="18" t="s">
        <v>194</v>
      </c>
      <c r="F72" s="18" t="s">
        <v>195</v>
      </c>
      <c r="G72" s="12" t="s">
        <v>28</v>
      </c>
      <c r="H72" s="12" t="s">
        <v>27</v>
      </c>
      <c r="I72" s="12" t="s">
        <v>27</v>
      </c>
    </row>
    <row r="73" spans="1:9" ht="106.5" customHeight="1">
      <c r="A73" s="18" t="s">
        <v>167</v>
      </c>
      <c r="B73" s="53"/>
      <c r="C73" s="18" t="s">
        <v>91</v>
      </c>
      <c r="D73" s="18" t="s">
        <v>193</v>
      </c>
      <c r="E73" s="18" t="s">
        <v>196</v>
      </c>
      <c r="F73" s="18" t="s">
        <v>197</v>
      </c>
      <c r="G73" s="12" t="s">
        <v>28</v>
      </c>
      <c r="H73" s="12" t="s">
        <v>27</v>
      </c>
      <c r="I73" s="12" t="s">
        <v>27</v>
      </c>
    </row>
    <row r="74" spans="1:9" ht="121.5" customHeight="1">
      <c r="A74" s="18" t="s">
        <v>171</v>
      </c>
      <c r="B74" s="53"/>
      <c r="C74" s="18" t="s">
        <v>198</v>
      </c>
      <c r="D74" s="18" t="s">
        <v>193</v>
      </c>
      <c r="E74" s="18" t="s">
        <v>199</v>
      </c>
      <c r="F74" s="18" t="s">
        <v>200</v>
      </c>
      <c r="G74" s="12" t="s">
        <v>27</v>
      </c>
      <c r="H74" s="12" t="s">
        <v>27</v>
      </c>
      <c r="I74" s="12" t="s">
        <v>27</v>
      </c>
    </row>
    <row r="75" spans="1:9" ht="121.5" customHeight="1">
      <c r="A75" s="18" t="s">
        <v>176</v>
      </c>
      <c r="B75" s="53"/>
      <c r="C75" s="18" t="s">
        <v>201</v>
      </c>
      <c r="D75" s="18" t="s">
        <v>202</v>
      </c>
      <c r="E75" s="18" t="s">
        <v>203</v>
      </c>
      <c r="F75" s="18" t="s">
        <v>204</v>
      </c>
      <c r="G75" s="12" t="s">
        <v>27</v>
      </c>
      <c r="H75" s="12" t="s">
        <v>27</v>
      </c>
      <c r="I75" s="12" t="s">
        <v>27</v>
      </c>
    </row>
    <row r="76" spans="1:9" ht="121.5" customHeight="1">
      <c r="A76" s="18" t="s">
        <v>179</v>
      </c>
      <c r="B76" s="53"/>
      <c r="C76" s="18" t="s">
        <v>205</v>
      </c>
      <c r="D76" s="18" t="s">
        <v>193</v>
      </c>
      <c r="E76" s="18" t="s">
        <v>206</v>
      </c>
      <c r="F76" s="18" t="s">
        <v>207</v>
      </c>
      <c r="G76" s="12" t="s">
        <v>27</v>
      </c>
      <c r="H76" s="12" t="s">
        <v>27</v>
      </c>
      <c r="I76" s="12" t="s">
        <v>27</v>
      </c>
    </row>
    <row r="77" spans="1:9">
      <c r="A77" s="19"/>
      <c r="B77" s="20"/>
      <c r="C77" s="20"/>
      <c r="D77" s="20"/>
      <c r="E77" s="20"/>
      <c r="F77" s="20"/>
      <c r="G77" s="19"/>
      <c r="H77" s="19"/>
    </row>
    <row r="78" spans="1:9" ht="60">
      <c r="A78" s="6" t="s">
        <v>161</v>
      </c>
      <c r="B78" s="54" t="s">
        <v>611</v>
      </c>
      <c r="C78" s="6" t="s">
        <v>592</v>
      </c>
      <c r="D78" s="6" t="s">
        <v>593</v>
      </c>
      <c r="E78" s="6" t="s">
        <v>594</v>
      </c>
      <c r="F78" s="6" t="s">
        <v>595</v>
      </c>
      <c r="G78" s="12" t="s">
        <v>27</v>
      </c>
      <c r="H78" s="12" t="s">
        <v>27</v>
      </c>
      <c r="I78" s="12" t="s">
        <v>27</v>
      </c>
    </row>
    <row r="79" spans="1:9" ht="60">
      <c r="A79" s="6" t="s">
        <v>167</v>
      </c>
      <c r="B79" s="53"/>
      <c r="C79" s="6" t="s">
        <v>596</v>
      </c>
      <c r="D79" s="6" t="s">
        <v>597</v>
      </c>
      <c r="E79" s="6" t="s">
        <v>598</v>
      </c>
      <c r="F79" s="6" t="s">
        <v>599</v>
      </c>
      <c r="G79" s="12" t="s">
        <v>27</v>
      </c>
      <c r="H79" s="12" t="s">
        <v>27</v>
      </c>
      <c r="I79" s="12" t="s">
        <v>27</v>
      </c>
    </row>
    <row r="80" spans="1:9" ht="60">
      <c r="A80" s="6" t="s">
        <v>171</v>
      </c>
      <c r="C80" s="6" t="s">
        <v>600</v>
      </c>
      <c r="D80" s="6" t="s">
        <v>601</v>
      </c>
      <c r="E80" s="6" t="s">
        <v>602</v>
      </c>
      <c r="F80" s="6" t="s">
        <v>603</v>
      </c>
      <c r="G80" s="12" t="s">
        <v>27</v>
      </c>
      <c r="H80" s="12" t="s">
        <v>27</v>
      </c>
      <c r="I80" s="12" t="s">
        <v>27</v>
      </c>
    </row>
    <row r="81" spans="1:9" ht="75">
      <c r="A81" s="6" t="s">
        <v>176</v>
      </c>
      <c r="C81" s="6" t="s">
        <v>604</v>
      </c>
      <c r="D81" s="6" t="s">
        <v>605</v>
      </c>
      <c r="E81" s="6" t="s">
        <v>606</v>
      </c>
      <c r="F81" s="6" t="s">
        <v>607</v>
      </c>
      <c r="G81" s="12" t="s">
        <v>27</v>
      </c>
      <c r="H81" s="12" t="s">
        <v>27</v>
      </c>
      <c r="I81" s="12" t="s">
        <v>27</v>
      </c>
    </row>
    <row r="82" spans="1:9" ht="60">
      <c r="A82" s="6" t="s">
        <v>179</v>
      </c>
      <c r="C82" s="6" t="s">
        <v>608</v>
      </c>
      <c r="D82" s="6" t="s">
        <v>601</v>
      </c>
      <c r="E82" s="6" t="s">
        <v>609</v>
      </c>
      <c r="F82" s="6" t="s">
        <v>610</v>
      </c>
      <c r="G82" s="12" t="s">
        <v>27</v>
      </c>
      <c r="H82" s="12" t="s">
        <v>27</v>
      </c>
      <c r="I82" s="12" t="s">
        <v>27</v>
      </c>
    </row>
    <row r="83" spans="1:9">
      <c r="A83" s="19"/>
      <c r="B83" s="20"/>
      <c r="C83" s="20"/>
      <c r="D83" s="20"/>
      <c r="E83" s="20"/>
      <c r="F83" s="20"/>
      <c r="G83" s="19"/>
      <c r="H83" s="19"/>
    </row>
    <row r="84" spans="1:9">
      <c r="A84" s="6" t="s">
        <v>161</v>
      </c>
      <c r="B84" s="54" t="s">
        <v>208</v>
      </c>
      <c r="C84" s="6" t="s">
        <v>209</v>
      </c>
      <c r="G84" s="12" t="s">
        <v>27</v>
      </c>
      <c r="H84" s="12" t="s">
        <v>28</v>
      </c>
      <c r="I84" s="12" t="s">
        <v>27</v>
      </c>
    </row>
    <row r="85" spans="1:9">
      <c r="A85" s="6" t="s">
        <v>167</v>
      </c>
      <c r="B85" s="53"/>
      <c r="C85" s="6" t="s">
        <v>168</v>
      </c>
      <c r="G85" s="12" t="s">
        <v>28</v>
      </c>
      <c r="H85" s="12" t="s">
        <v>28</v>
      </c>
      <c r="I85" s="12" t="s">
        <v>27</v>
      </c>
    </row>
    <row r="86" spans="1:9">
      <c r="A86" s="6" t="s">
        <v>171</v>
      </c>
      <c r="B86" s="53"/>
      <c r="C86" s="6" t="s">
        <v>210</v>
      </c>
      <c r="G86" s="12" t="s">
        <v>28</v>
      </c>
      <c r="H86" s="12" t="s">
        <v>28</v>
      </c>
      <c r="I86" s="12" t="s">
        <v>27</v>
      </c>
    </row>
    <row r="87" spans="1:9">
      <c r="A87" s="6" t="s">
        <v>176</v>
      </c>
      <c r="B87" s="53"/>
      <c r="C87" s="6" t="s">
        <v>211</v>
      </c>
      <c r="G87" s="12" t="s">
        <v>28</v>
      </c>
      <c r="H87" s="12" t="s">
        <v>28</v>
      </c>
      <c r="I87" s="12" t="s">
        <v>27</v>
      </c>
    </row>
    <row r="88" spans="1:9">
      <c r="A88" s="6" t="s">
        <v>179</v>
      </c>
      <c r="B88" s="53"/>
      <c r="C88" s="6" t="s">
        <v>212</v>
      </c>
      <c r="G88" s="12" t="s">
        <v>27</v>
      </c>
      <c r="H88" s="12" t="s">
        <v>28</v>
      </c>
      <c r="I88" s="12" t="s">
        <v>27</v>
      </c>
    </row>
    <row r="89" spans="1:9" ht="23.25" customHeight="1">
      <c r="A89" s="52" t="s">
        <v>159</v>
      </c>
      <c r="B89" s="53"/>
      <c r="C89" s="53"/>
      <c r="D89" s="53"/>
      <c r="E89" s="53"/>
      <c r="F89" s="53"/>
      <c r="G89" s="53"/>
      <c r="H89" s="54"/>
    </row>
    <row r="90" spans="1:9" ht="76.5" customHeight="1">
      <c r="A90" s="18" t="s">
        <v>161</v>
      </c>
      <c r="B90" s="56" t="s">
        <v>162</v>
      </c>
      <c r="C90" s="18" t="s">
        <v>163</v>
      </c>
      <c r="D90" s="18" t="s">
        <v>164</v>
      </c>
      <c r="E90" s="18" t="s">
        <v>165</v>
      </c>
      <c r="F90" s="18" t="s">
        <v>166</v>
      </c>
      <c r="G90" s="12" t="s">
        <v>27</v>
      </c>
      <c r="H90" s="12" t="s">
        <v>27</v>
      </c>
      <c r="I90" s="12" t="s">
        <v>27</v>
      </c>
    </row>
    <row r="91" spans="1:9" ht="91.5" customHeight="1">
      <c r="A91" s="18" t="s">
        <v>167</v>
      </c>
      <c r="B91" s="53"/>
      <c r="C91" s="18" t="s">
        <v>168</v>
      </c>
      <c r="D91" s="18"/>
      <c r="E91" s="18" t="s">
        <v>169</v>
      </c>
      <c r="F91" s="18" t="s">
        <v>170</v>
      </c>
      <c r="G91" s="12" t="s">
        <v>28</v>
      </c>
      <c r="H91" s="12" t="s">
        <v>27</v>
      </c>
      <c r="I91" s="12" t="s">
        <v>27</v>
      </c>
    </row>
    <row r="92" spans="1:9" ht="76.5" customHeight="1">
      <c r="A92" s="18" t="s">
        <v>171</v>
      </c>
      <c r="B92" s="53"/>
      <c r="C92" s="18" t="s">
        <v>172</v>
      </c>
      <c r="D92" s="18" t="s">
        <v>173</v>
      </c>
      <c r="E92" s="18" t="s">
        <v>174</v>
      </c>
      <c r="F92" s="18" t="s">
        <v>175</v>
      </c>
      <c r="G92" s="12" t="s">
        <v>28</v>
      </c>
      <c r="H92" s="12" t="s">
        <v>27</v>
      </c>
      <c r="I92" s="12" t="s">
        <v>27</v>
      </c>
    </row>
    <row r="93" spans="1:9" ht="76.5" customHeight="1">
      <c r="A93" s="18" t="s">
        <v>176</v>
      </c>
      <c r="B93" s="53"/>
      <c r="C93" s="18" t="s">
        <v>177</v>
      </c>
      <c r="D93" s="18"/>
      <c r="E93" s="18" t="s">
        <v>174</v>
      </c>
      <c r="F93" s="18" t="s">
        <v>178</v>
      </c>
      <c r="G93" s="12" t="s">
        <v>27</v>
      </c>
      <c r="H93" s="12" t="s">
        <v>27</v>
      </c>
      <c r="I93" s="12" t="s">
        <v>27</v>
      </c>
    </row>
    <row r="94" spans="1:9" ht="76.5" customHeight="1">
      <c r="A94" s="18" t="s">
        <v>179</v>
      </c>
      <c r="B94" s="53"/>
      <c r="C94" s="18" t="s">
        <v>95</v>
      </c>
      <c r="D94" s="18"/>
      <c r="E94" s="18" t="s">
        <v>180</v>
      </c>
      <c r="F94" s="18" t="s">
        <v>181</v>
      </c>
      <c r="G94" s="12" t="s">
        <v>28</v>
      </c>
      <c r="H94" s="12" t="s">
        <v>27</v>
      </c>
      <c r="I94" s="12" t="s">
        <v>27</v>
      </c>
    </row>
    <row r="95" spans="1:9">
      <c r="A95" s="19"/>
      <c r="B95" s="20"/>
      <c r="C95" s="20"/>
      <c r="D95" s="20"/>
      <c r="E95" s="20"/>
      <c r="F95" s="20"/>
      <c r="G95" s="19"/>
      <c r="H95" s="19"/>
    </row>
    <row r="96" spans="1:9" ht="76.5" customHeight="1">
      <c r="A96" s="22" t="s">
        <v>161</v>
      </c>
      <c r="B96" s="55" t="s">
        <v>182</v>
      </c>
      <c r="C96" s="22" t="s">
        <v>183</v>
      </c>
      <c r="D96" s="22" t="s">
        <v>164</v>
      </c>
      <c r="E96" s="22" t="s">
        <v>184</v>
      </c>
      <c r="F96" s="22" t="s">
        <v>185</v>
      </c>
      <c r="G96" s="12" t="s">
        <v>27</v>
      </c>
      <c r="H96" s="12" t="s">
        <v>27</v>
      </c>
      <c r="I96" s="12" t="s">
        <v>27</v>
      </c>
    </row>
    <row r="97" spans="1:9" ht="76.5" customHeight="1">
      <c r="A97" s="22" t="s">
        <v>167</v>
      </c>
      <c r="B97" s="53"/>
      <c r="C97" s="22" t="s">
        <v>186</v>
      </c>
      <c r="D97" s="22" t="s">
        <v>164</v>
      </c>
      <c r="E97" s="22" t="s">
        <v>187</v>
      </c>
      <c r="F97" s="22" t="s">
        <v>185</v>
      </c>
      <c r="G97" s="12" t="s">
        <v>27</v>
      </c>
      <c r="H97" s="12" t="s">
        <v>27</v>
      </c>
      <c r="I97" s="12" t="s">
        <v>27</v>
      </c>
    </row>
    <row r="98" spans="1:9" ht="76.5" customHeight="1">
      <c r="A98" s="22" t="s">
        <v>171</v>
      </c>
      <c r="B98" s="53"/>
      <c r="C98" s="22" t="s">
        <v>188</v>
      </c>
      <c r="D98" s="22" t="s">
        <v>164</v>
      </c>
      <c r="E98" s="22" t="s">
        <v>189</v>
      </c>
      <c r="F98" s="22" t="s">
        <v>190</v>
      </c>
      <c r="G98" s="12" t="s">
        <v>27</v>
      </c>
      <c r="H98" s="12" t="s">
        <v>27</v>
      </c>
      <c r="I98" s="12" t="s">
        <v>27</v>
      </c>
    </row>
    <row r="99" spans="1:9" ht="76.5" customHeight="1">
      <c r="A99" s="22" t="s">
        <v>176</v>
      </c>
      <c r="B99" s="53"/>
      <c r="C99" s="22" t="s">
        <v>95</v>
      </c>
      <c r="D99" s="22"/>
      <c r="E99" s="22" t="s">
        <v>191</v>
      </c>
      <c r="F99" s="22" t="s">
        <v>181</v>
      </c>
      <c r="G99" s="12" t="s">
        <v>28</v>
      </c>
      <c r="H99" s="12" t="s">
        <v>27</v>
      </c>
      <c r="I99" s="12" t="s">
        <v>27</v>
      </c>
    </row>
    <row r="100" spans="1:9">
      <c r="A100" s="19"/>
      <c r="B100" s="20"/>
      <c r="C100" s="20"/>
      <c r="D100" s="20"/>
      <c r="E100" s="20"/>
      <c r="F100" s="20"/>
      <c r="G100" s="19"/>
      <c r="H100" s="19"/>
    </row>
    <row r="101" spans="1:9" ht="106.5" customHeight="1">
      <c r="A101" s="18" t="s">
        <v>161</v>
      </c>
      <c r="B101" s="56" t="s">
        <v>192</v>
      </c>
      <c r="C101" s="18" t="s">
        <v>95</v>
      </c>
      <c r="D101" s="18" t="s">
        <v>193</v>
      </c>
      <c r="E101" s="18" t="s">
        <v>194</v>
      </c>
      <c r="F101" s="18" t="s">
        <v>195</v>
      </c>
      <c r="G101" s="12" t="s">
        <v>28</v>
      </c>
      <c r="H101" s="12" t="s">
        <v>27</v>
      </c>
      <c r="I101" s="12" t="s">
        <v>27</v>
      </c>
    </row>
    <row r="102" spans="1:9" ht="106.5" customHeight="1">
      <c r="A102" s="18" t="s">
        <v>167</v>
      </c>
      <c r="B102" s="53"/>
      <c r="C102" s="18" t="s">
        <v>91</v>
      </c>
      <c r="D102" s="18" t="s">
        <v>193</v>
      </c>
      <c r="E102" s="18" t="s">
        <v>196</v>
      </c>
      <c r="F102" s="18" t="s">
        <v>197</v>
      </c>
      <c r="G102" s="12" t="s">
        <v>28</v>
      </c>
      <c r="H102" s="12" t="s">
        <v>27</v>
      </c>
      <c r="I102" s="12" t="s">
        <v>27</v>
      </c>
    </row>
    <row r="103" spans="1:9" ht="121.5" customHeight="1">
      <c r="A103" s="18" t="s">
        <v>171</v>
      </c>
      <c r="B103" s="53"/>
      <c r="C103" s="18" t="s">
        <v>198</v>
      </c>
      <c r="D103" s="18" t="s">
        <v>193</v>
      </c>
      <c r="E103" s="18" t="s">
        <v>199</v>
      </c>
      <c r="F103" s="18" t="s">
        <v>200</v>
      </c>
      <c r="G103" s="12" t="s">
        <v>27</v>
      </c>
      <c r="H103" s="12" t="s">
        <v>27</v>
      </c>
      <c r="I103" s="12" t="s">
        <v>27</v>
      </c>
    </row>
    <row r="104" spans="1:9" ht="121.5" customHeight="1">
      <c r="A104" s="18" t="s">
        <v>176</v>
      </c>
      <c r="B104" s="53"/>
      <c r="C104" s="18" t="s">
        <v>201</v>
      </c>
      <c r="D104" s="18" t="s">
        <v>202</v>
      </c>
      <c r="E104" s="18" t="s">
        <v>203</v>
      </c>
      <c r="F104" s="18" t="s">
        <v>204</v>
      </c>
      <c r="G104" s="12" t="s">
        <v>27</v>
      </c>
      <c r="H104" s="12" t="s">
        <v>27</v>
      </c>
      <c r="I104" s="12" t="s">
        <v>27</v>
      </c>
    </row>
    <row r="105" spans="1:9" ht="121.5" customHeight="1">
      <c r="A105" s="18" t="s">
        <v>179</v>
      </c>
      <c r="B105" s="53"/>
      <c r="C105" s="18" t="s">
        <v>205</v>
      </c>
      <c r="D105" s="18" t="s">
        <v>193</v>
      </c>
      <c r="E105" s="18" t="s">
        <v>206</v>
      </c>
      <c r="F105" s="18" t="s">
        <v>207</v>
      </c>
      <c r="G105" s="12" t="s">
        <v>27</v>
      </c>
      <c r="H105" s="12" t="s">
        <v>27</v>
      </c>
      <c r="I105" s="12" t="s">
        <v>27</v>
      </c>
    </row>
    <row r="106" spans="1:9">
      <c r="A106" s="19"/>
      <c r="B106" s="20"/>
      <c r="C106" s="20"/>
      <c r="D106" s="20"/>
      <c r="E106" s="20"/>
      <c r="F106" s="20"/>
      <c r="G106" s="19"/>
      <c r="H106" s="19"/>
    </row>
    <row r="107" spans="1:9" ht="60">
      <c r="A107" s="6" t="s">
        <v>161</v>
      </c>
      <c r="B107" s="54" t="s">
        <v>591</v>
      </c>
      <c r="C107" s="6" t="s">
        <v>592</v>
      </c>
      <c r="D107" s="6" t="s">
        <v>593</v>
      </c>
      <c r="E107" s="6" t="s">
        <v>594</v>
      </c>
      <c r="F107" s="6" t="s">
        <v>595</v>
      </c>
      <c r="G107" s="12" t="s">
        <v>27</v>
      </c>
      <c r="H107" s="12" t="s">
        <v>27</v>
      </c>
      <c r="I107" s="12" t="s">
        <v>27</v>
      </c>
    </row>
    <row r="108" spans="1:9" ht="60">
      <c r="A108" s="6" t="s">
        <v>167</v>
      </c>
      <c r="B108" s="53"/>
      <c r="C108" s="6" t="s">
        <v>596</v>
      </c>
      <c r="D108" s="6" t="s">
        <v>597</v>
      </c>
      <c r="E108" s="6" t="s">
        <v>598</v>
      </c>
      <c r="F108" s="6" t="s">
        <v>599</v>
      </c>
      <c r="G108" s="12" t="s">
        <v>27</v>
      </c>
      <c r="H108" s="12" t="s">
        <v>27</v>
      </c>
      <c r="I108" s="12" t="s">
        <v>27</v>
      </c>
    </row>
    <row r="109" spans="1:9" ht="60">
      <c r="A109" s="6" t="s">
        <v>171</v>
      </c>
      <c r="C109" s="6" t="s">
        <v>600</v>
      </c>
      <c r="D109" s="6" t="s">
        <v>601</v>
      </c>
      <c r="E109" s="6" t="s">
        <v>602</v>
      </c>
      <c r="F109" s="6" t="s">
        <v>603</v>
      </c>
      <c r="G109" s="12" t="s">
        <v>27</v>
      </c>
      <c r="H109" s="12" t="s">
        <v>27</v>
      </c>
      <c r="I109" s="12" t="s">
        <v>27</v>
      </c>
    </row>
    <row r="110" spans="1:9" ht="75">
      <c r="A110" s="6" t="s">
        <v>176</v>
      </c>
      <c r="C110" s="6" t="s">
        <v>604</v>
      </c>
      <c r="D110" s="6" t="s">
        <v>605</v>
      </c>
      <c r="E110" s="6" t="s">
        <v>606</v>
      </c>
      <c r="F110" s="6" t="s">
        <v>607</v>
      </c>
      <c r="G110" s="12" t="s">
        <v>27</v>
      </c>
      <c r="H110" s="12" t="s">
        <v>27</v>
      </c>
      <c r="I110" s="12" t="s">
        <v>27</v>
      </c>
    </row>
    <row r="111" spans="1:9" ht="60">
      <c r="A111" s="6" t="s">
        <v>179</v>
      </c>
      <c r="C111" s="6" t="s">
        <v>608</v>
      </c>
      <c r="D111" s="6" t="s">
        <v>601</v>
      </c>
      <c r="E111" s="6" t="s">
        <v>609</v>
      </c>
      <c r="F111" s="6" t="s">
        <v>610</v>
      </c>
      <c r="G111" s="12" t="s">
        <v>27</v>
      </c>
      <c r="H111" s="12" t="s">
        <v>27</v>
      </c>
      <c r="I111" s="12" t="s">
        <v>27</v>
      </c>
    </row>
    <row r="112" spans="1:9">
      <c r="A112" s="19"/>
      <c r="B112" s="20"/>
      <c r="C112" s="20"/>
      <c r="D112" s="20"/>
      <c r="E112" s="20"/>
      <c r="F112" s="20"/>
      <c r="G112" s="19"/>
      <c r="H112" s="19"/>
    </row>
    <row r="113" spans="1:9">
      <c r="A113" s="6" t="s">
        <v>161</v>
      </c>
      <c r="B113" s="54" t="s">
        <v>208</v>
      </c>
      <c r="C113" s="6" t="s">
        <v>209</v>
      </c>
      <c r="G113" s="12" t="s">
        <v>27</v>
      </c>
      <c r="H113" s="12" t="s">
        <v>28</v>
      </c>
      <c r="I113" s="12" t="s">
        <v>27</v>
      </c>
    </row>
    <row r="114" spans="1:9">
      <c r="A114" s="6" t="s">
        <v>167</v>
      </c>
      <c r="B114" s="53"/>
      <c r="C114" s="6" t="s">
        <v>168</v>
      </c>
      <c r="G114" s="12" t="s">
        <v>28</v>
      </c>
      <c r="H114" s="12" t="s">
        <v>28</v>
      </c>
      <c r="I114" s="12" t="s">
        <v>27</v>
      </c>
    </row>
    <row r="115" spans="1:9">
      <c r="A115" s="6" t="s">
        <v>171</v>
      </c>
      <c r="B115" s="53"/>
      <c r="C115" s="6" t="s">
        <v>210</v>
      </c>
      <c r="G115" s="12" t="s">
        <v>28</v>
      </c>
      <c r="H115" s="12" t="s">
        <v>28</v>
      </c>
      <c r="I115" s="12" t="s">
        <v>27</v>
      </c>
    </row>
    <row r="116" spans="1:9">
      <c r="A116" s="6" t="s">
        <v>176</v>
      </c>
      <c r="B116" s="53"/>
      <c r="C116" s="6" t="s">
        <v>211</v>
      </c>
      <c r="G116" s="12" t="s">
        <v>28</v>
      </c>
      <c r="H116" s="12" t="s">
        <v>28</v>
      </c>
      <c r="I116" s="12" t="s">
        <v>27</v>
      </c>
    </row>
    <row r="117" spans="1:9">
      <c r="A117" s="6" t="s">
        <v>179</v>
      </c>
      <c r="B117" s="53"/>
      <c r="C117" s="6" t="s">
        <v>212</v>
      </c>
      <c r="G117" s="12" t="s">
        <v>27</v>
      </c>
      <c r="H117" s="12" t="s">
        <v>28</v>
      </c>
      <c r="I117" s="12" t="s">
        <v>27</v>
      </c>
    </row>
  </sheetData>
  <mergeCells count="24">
    <mergeCell ref="B9:B12"/>
    <mergeCell ref="B96:B99"/>
    <mergeCell ref="A2:H2"/>
    <mergeCell ref="B90:B94"/>
    <mergeCell ref="B3:B7"/>
    <mergeCell ref="B20:B21"/>
    <mergeCell ref="B84:B88"/>
    <mergeCell ref="B67:B70"/>
    <mergeCell ref="A60:H60"/>
    <mergeCell ref="A89:H89"/>
    <mergeCell ref="B72:B76"/>
    <mergeCell ref="B32:B36"/>
    <mergeCell ref="B49:B50"/>
    <mergeCell ref="B61:B65"/>
    <mergeCell ref="B55:B59"/>
    <mergeCell ref="B43:B47"/>
    <mergeCell ref="B113:B117"/>
    <mergeCell ref="B14:B18"/>
    <mergeCell ref="A31:H31"/>
    <mergeCell ref="B78:B79"/>
    <mergeCell ref="B26:B30"/>
    <mergeCell ref="B38:B41"/>
    <mergeCell ref="B101:B105"/>
    <mergeCell ref="B107:B108"/>
  </mergeCells>
  <conditionalFormatting sqref="G1">
    <cfRule type="cellIs" dxfId="111" priority="525" operator="equal">
      <formula>"No"</formula>
    </cfRule>
    <cfRule type="cellIs" dxfId="110" priority="526" operator="equal">
      <formula>"Si"</formula>
    </cfRule>
  </conditionalFormatting>
  <conditionalFormatting sqref="G26:G30">
    <cfRule type="cellIs" dxfId="109" priority="446" operator="equal">
      <formula>"Si"</formula>
    </cfRule>
    <cfRule type="cellIs" dxfId="108" priority="445" operator="equal">
      <formula>"No"</formula>
    </cfRule>
  </conditionalFormatting>
  <conditionalFormatting sqref="G32:G36">
    <cfRule type="cellIs" dxfId="107" priority="414" operator="equal">
      <formula>"Si"</formula>
    </cfRule>
    <cfRule type="cellIs" dxfId="106" priority="413" operator="equal">
      <formula>"No"</formula>
    </cfRule>
  </conditionalFormatting>
  <conditionalFormatting sqref="G49:G53">
    <cfRule type="cellIs" dxfId="105" priority="380" operator="equal">
      <formula>"Si"</formula>
    </cfRule>
    <cfRule type="cellIs" dxfId="104" priority="379" operator="equal">
      <formula>"No"</formula>
    </cfRule>
  </conditionalFormatting>
  <conditionalFormatting sqref="G55:G59">
    <cfRule type="cellIs" dxfId="103" priority="376" operator="equal">
      <formula>"Si"</formula>
    </cfRule>
    <cfRule type="cellIs" dxfId="102" priority="375" operator="equal">
      <formula>"No"</formula>
    </cfRule>
  </conditionalFormatting>
  <conditionalFormatting sqref="G61:G65">
    <cfRule type="cellIs" dxfId="101" priority="344" operator="equal">
      <formula>"Si"</formula>
    </cfRule>
    <cfRule type="cellIs" dxfId="100" priority="343" operator="equal">
      <formula>"No"</formula>
    </cfRule>
  </conditionalFormatting>
  <conditionalFormatting sqref="G78:G82">
    <cfRule type="cellIs" dxfId="99" priority="309" operator="equal">
      <formula>"No"</formula>
    </cfRule>
    <cfRule type="cellIs" dxfId="98" priority="310" operator="equal">
      <formula>"Si"</formula>
    </cfRule>
  </conditionalFormatting>
  <conditionalFormatting sqref="G84:G88">
    <cfRule type="cellIs" dxfId="97" priority="305" operator="equal">
      <formula>"No"</formula>
    </cfRule>
    <cfRule type="cellIs" dxfId="96" priority="306" operator="equal">
      <formula>"Si"</formula>
    </cfRule>
  </conditionalFormatting>
  <conditionalFormatting sqref="G90:G105">
    <cfRule type="cellIs" dxfId="95" priority="244" operator="equal">
      <formula>"Si"</formula>
    </cfRule>
    <cfRule type="cellIs" dxfId="94" priority="243" operator="equal">
      <formula>"No"</formula>
    </cfRule>
  </conditionalFormatting>
  <conditionalFormatting sqref="G107:G111">
    <cfRule type="cellIs" dxfId="93" priority="240" operator="equal">
      <formula>"Si"</formula>
    </cfRule>
    <cfRule type="cellIs" dxfId="92" priority="239" operator="equal">
      <formula>"No"</formula>
    </cfRule>
  </conditionalFormatting>
  <conditionalFormatting sqref="G113:G117">
    <cfRule type="cellIs" dxfId="91" priority="236" operator="equal">
      <formula>"Si"</formula>
    </cfRule>
    <cfRule type="cellIs" dxfId="90" priority="235" operator="equal">
      <formula>"No"</formula>
    </cfRule>
  </conditionalFormatting>
  <conditionalFormatting sqref="G3:H25">
    <cfRule type="cellIs" dxfId="89" priority="212" operator="equal">
      <formula>"Si"</formula>
    </cfRule>
    <cfRule type="cellIs" dxfId="88" priority="211" operator="equal">
      <formula>"No"</formula>
    </cfRule>
  </conditionalFormatting>
  <conditionalFormatting sqref="G37:H48">
    <cfRule type="cellIs" dxfId="87" priority="384" operator="equal">
      <formula>"Si"</formula>
    </cfRule>
    <cfRule type="cellIs" dxfId="86" priority="383" operator="equal">
      <formula>"No"</formula>
    </cfRule>
  </conditionalFormatting>
  <conditionalFormatting sqref="G54:H54">
    <cfRule type="cellIs" dxfId="85" priority="434" operator="equal">
      <formula>"Si"</formula>
    </cfRule>
    <cfRule type="cellIs" dxfId="84" priority="433" operator="equal">
      <formula>"No"</formula>
    </cfRule>
  </conditionalFormatting>
  <conditionalFormatting sqref="G66:H77">
    <cfRule type="cellIs" dxfId="83" priority="195" operator="equal">
      <formula>"No"</formula>
    </cfRule>
    <cfRule type="cellIs" dxfId="82" priority="196" operator="equal">
      <formula>"Si"</formula>
    </cfRule>
  </conditionalFormatting>
  <conditionalFormatting sqref="G83:H83">
    <cfRule type="cellIs" dxfId="81" priority="364" operator="equal">
      <formula>"Si"</formula>
    </cfRule>
    <cfRule type="cellIs" dxfId="80" priority="363" operator="equal">
      <formula>"No"</formula>
    </cfRule>
  </conditionalFormatting>
  <conditionalFormatting sqref="G106:H106">
    <cfRule type="cellIs" dxfId="79" priority="296" operator="equal">
      <formula>"Si"</formula>
    </cfRule>
    <cfRule type="cellIs" dxfId="78" priority="295" operator="equal">
      <formula>"No"</formula>
    </cfRule>
  </conditionalFormatting>
  <conditionalFormatting sqref="G112:H112">
    <cfRule type="cellIs" dxfId="77" priority="294" operator="equal">
      <formula>"Si"</formula>
    </cfRule>
    <cfRule type="cellIs" dxfId="76" priority="293" operator="equal">
      <formula>"No"</formula>
    </cfRule>
  </conditionalFormatting>
  <conditionalFormatting sqref="H26:H36">
    <cfRule type="cellIs" dxfId="75" priority="216" operator="equal">
      <formula>"Si"</formula>
    </cfRule>
    <cfRule type="cellIs" dxfId="74" priority="215" operator="equal">
      <formula>"No"</formula>
    </cfRule>
  </conditionalFormatting>
  <conditionalFormatting sqref="H49:H65">
    <cfRule type="cellIs" dxfId="73" priority="204" operator="equal">
      <formula>"Si"</formula>
    </cfRule>
    <cfRule type="cellIs" dxfId="72" priority="203" operator="equal">
      <formula>"No"</formula>
    </cfRule>
  </conditionalFormatting>
  <conditionalFormatting sqref="H78:H105">
    <cfRule type="cellIs" dxfId="71" priority="169" operator="equal">
      <formula>"No"</formula>
    </cfRule>
    <cfRule type="cellIs" dxfId="70" priority="170" operator="equal">
      <formula>"Si"</formula>
    </cfRule>
  </conditionalFormatting>
  <conditionalFormatting sqref="H107:H117">
    <cfRule type="cellIs" dxfId="69" priority="237" operator="equal">
      <formula>"No"</formula>
    </cfRule>
    <cfRule type="cellIs" dxfId="68" priority="238" operator="equal">
      <formula>"Si"</formula>
    </cfRule>
  </conditionalFormatting>
  <conditionalFormatting sqref="I3:I7">
    <cfRule type="cellIs" dxfId="67" priority="159" operator="equal">
      <formula>"No"</formula>
    </cfRule>
    <cfRule type="cellIs" dxfId="66" priority="160" operator="equal">
      <formula>"Si"</formula>
    </cfRule>
  </conditionalFormatting>
  <conditionalFormatting sqref="I9:I12">
    <cfRule type="cellIs" dxfId="65" priority="152" operator="equal">
      <formula>"Si"</formula>
    </cfRule>
    <cfRule type="cellIs" dxfId="64" priority="151" operator="equal">
      <formula>"No"</formula>
    </cfRule>
  </conditionalFormatting>
  <conditionalFormatting sqref="I14:I18">
    <cfRule type="cellIs" dxfId="63" priority="142" operator="equal">
      <formula>"Si"</formula>
    </cfRule>
    <cfRule type="cellIs" dxfId="62" priority="141" operator="equal">
      <formula>"No"</formula>
    </cfRule>
  </conditionalFormatting>
  <conditionalFormatting sqref="I20:I24">
    <cfRule type="cellIs" dxfId="61" priority="47" operator="equal">
      <formula>"No"</formula>
    </cfRule>
    <cfRule type="cellIs" dxfId="60" priority="48" operator="equal">
      <formula>"Si"</formula>
    </cfRule>
  </conditionalFormatting>
  <conditionalFormatting sqref="I26:I30">
    <cfRule type="cellIs" dxfId="59" priority="37" operator="equal">
      <formula>"No"</formula>
    </cfRule>
    <cfRule type="cellIs" dxfId="58" priority="38" operator="equal">
      <formula>"Si"</formula>
    </cfRule>
  </conditionalFormatting>
  <conditionalFormatting sqref="I32:I36">
    <cfRule type="cellIs" dxfId="57" priority="130" operator="equal">
      <formula>"Si"</formula>
    </cfRule>
    <cfRule type="cellIs" dxfId="56" priority="129" operator="equal">
      <formula>"No"</formula>
    </cfRule>
  </conditionalFormatting>
  <conditionalFormatting sqref="I38:I41">
    <cfRule type="cellIs" dxfId="55" priority="122" operator="equal">
      <formula>"Si"</formula>
    </cfRule>
    <cfRule type="cellIs" dxfId="54" priority="121" operator="equal">
      <formula>"No"</formula>
    </cfRule>
  </conditionalFormatting>
  <conditionalFormatting sqref="I43:I47">
    <cfRule type="cellIs" dxfId="53" priority="112" operator="equal">
      <formula>"Si"</formula>
    </cfRule>
    <cfRule type="cellIs" dxfId="52" priority="111" operator="equal">
      <formula>"No"</formula>
    </cfRule>
  </conditionalFormatting>
  <conditionalFormatting sqref="I49:I53">
    <cfRule type="cellIs" dxfId="51" priority="35" operator="equal">
      <formula>"No"</formula>
    </cfRule>
    <cfRule type="cellIs" dxfId="50" priority="36" operator="equal">
      <formula>"Si"</formula>
    </cfRule>
  </conditionalFormatting>
  <conditionalFormatting sqref="I55:I59">
    <cfRule type="cellIs" dxfId="49" priority="26" operator="equal">
      <formula>"Si"</formula>
    </cfRule>
    <cfRule type="cellIs" dxfId="48" priority="25" operator="equal">
      <formula>"No"</formula>
    </cfRule>
  </conditionalFormatting>
  <conditionalFormatting sqref="I61:I65">
    <cfRule type="cellIs" dxfId="47" priority="100" operator="equal">
      <formula>"Si"</formula>
    </cfRule>
    <cfRule type="cellIs" dxfId="46" priority="99" operator="equal">
      <formula>"No"</formula>
    </cfRule>
  </conditionalFormatting>
  <conditionalFormatting sqref="I67:I70">
    <cfRule type="cellIs" dxfId="45" priority="92" operator="equal">
      <formula>"Si"</formula>
    </cfRule>
    <cfRule type="cellIs" dxfId="44" priority="91" operator="equal">
      <formula>"No"</formula>
    </cfRule>
  </conditionalFormatting>
  <conditionalFormatting sqref="I72:I76">
    <cfRule type="cellIs" dxfId="43" priority="81" operator="equal">
      <formula>"No"</formula>
    </cfRule>
    <cfRule type="cellIs" dxfId="42" priority="82" operator="equal">
      <formula>"Si"</formula>
    </cfRule>
  </conditionalFormatting>
  <conditionalFormatting sqref="I78:I82">
    <cfRule type="cellIs" dxfId="41" priority="24" operator="equal">
      <formula>"Si"</formula>
    </cfRule>
    <cfRule type="cellIs" dxfId="40" priority="23" operator="equal">
      <formula>"No"</formula>
    </cfRule>
  </conditionalFormatting>
  <conditionalFormatting sqref="I84:I88">
    <cfRule type="cellIs" dxfId="39" priority="14" operator="equal">
      <formula>"Si"</formula>
    </cfRule>
    <cfRule type="cellIs" dxfId="38" priority="13" operator="equal">
      <formula>"No"</formula>
    </cfRule>
  </conditionalFormatting>
  <conditionalFormatting sqref="I90:I94">
    <cfRule type="cellIs" dxfId="37" priority="70" operator="equal">
      <formula>"Si"</formula>
    </cfRule>
    <cfRule type="cellIs" dxfId="36" priority="69" operator="equal">
      <formula>"No"</formula>
    </cfRule>
  </conditionalFormatting>
  <conditionalFormatting sqref="I96:I99">
    <cfRule type="cellIs" dxfId="35" priority="61" operator="equal">
      <formula>"No"</formula>
    </cfRule>
    <cfRule type="cellIs" dxfId="34" priority="62" operator="equal">
      <formula>"Si"</formula>
    </cfRule>
  </conditionalFormatting>
  <conditionalFormatting sqref="I101:I105">
    <cfRule type="cellIs" dxfId="33" priority="52" operator="equal">
      <formula>"Si"</formula>
    </cfRule>
    <cfRule type="cellIs" dxfId="32" priority="51" operator="equal">
      <formula>"No"</formula>
    </cfRule>
  </conditionalFormatting>
  <conditionalFormatting sqref="I107:I111">
    <cfRule type="cellIs" dxfId="31" priority="12" operator="equal">
      <formula>"Si"</formula>
    </cfRule>
    <cfRule type="cellIs" dxfId="30" priority="11" operator="equal">
      <formula>"No"</formula>
    </cfRule>
  </conditionalFormatting>
  <conditionalFormatting sqref="I113:I117">
    <cfRule type="cellIs" dxfId="29" priority="1" operator="equal">
      <formula>"No"</formula>
    </cfRule>
    <cfRule type="cellIs" dxfId="28" priority="2" operator="equal">
      <formula>"Si"</formula>
    </cfRule>
  </conditionalFormatting>
  <dataValidations count="1">
    <dataValidation type="list" allowBlank="1" showInputMessage="1" showErrorMessage="1" sqref="G3:H7 G9:H12 G14:H18 G20:H24 G26:H30 G32:H36 G38:H41 G43:H47 G49:H53 G55:H59 G61:H65 G67:H70 G72:H76 G78:H82 G84:H88 G90:H94 G96:H99 G101:H105 G107:H111 G113:H117" xr:uid="{00000000-0002-0000-0200-000000000000}">
      <formula1>"Si,No"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K13"/>
  <sheetViews>
    <sheetView topLeftCell="E1" workbookViewId="0">
      <pane ySplit="1" topLeftCell="A2" activePane="bottomLeft" state="frozen"/>
      <selection pane="bottomLeft" activeCell="K10" sqref="K10"/>
    </sheetView>
  </sheetViews>
  <sheetFormatPr baseColWidth="10" defaultColWidth="9.140625" defaultRowHeight="15"/>
  <cols>
    <col min="1" max="1" width="9.140625" style="13" customWidth="1"/>
    <col min="2" max="2" width="30.7109375" style="12" customWidth="1"/>
    <col min="3" max="3" width="48" style="13" customWidth="1"/>
    <col min="4" max="4" width="32.42578125" style="6" customWidth="1"/>
    <col min="5" max="5" width="45.7109375" style="13" customWidth="1"/>
    <col min="6" max="6" width="23.85546875" style="13" customWidth="1"/>
    <col min="7" max="7" width="18.28515625" style="13" customWidth="1"/>
    <col min="8" max="8" width="20" style="12" customWidth="1"/>
    <col min="9" max="11" width="20" style="13" customWidth="1"/>
    <col min="12" max="16384" width="9.140625" style="13"/>
  </cols>
  <sheetData>
    <row r="1" spans="1:11" ht="17.25" customHeight="1">
      <c r="A1" s="1" t="s">
        <v>12</v>
      </c>
      <c r="B1" s="1" t="s">
        <v>13</v>
      </c>
      <c r="C1" s="1" t="s">
        <v>14</v>
      </c>
      <c r="D1" s="1" t="s">
        <v>15</v>
      </c>
      <c r="E1" s="1" t="s">
        <v>16</v>
      </c>
      <c r="F1" s="1" t="s">
        <v>17</v>
      </c>
      <c r="G1" s="1" t="s">
        <v>214</v>
      </c>
      <c r="H1" s="1" t="s">
        <v>19</v>
      </c>
      <c r="I1" s="1" t="s">
        <v>580</v>
      </c>
      <c r="J1" s="1" t="s">
        <v>583</v>
      </c>
      <c r="K1" s="1" t="s">
        <v>584</v>
      </c>
    </row>
    <row r="2" spans="1:11" ht="14.25" customHeight="1">
      <c r="A2" s="57" t="s">
        <v>215</v>
      </c>
      <c r="B2" s="54"/>
      <c r="C2" s="58"/>
      <c r="D2" s="53"/>
      <c r="E2" s="58"/>
      <c r="F2" s="58"/>
      <c r="G2" s="58"/>
      <c r="H2" s="2"/>
    </row>
    <row r="3" spans="1:11" ht="198" customHeight="1">
      <c r="B3" s="54" t="s">
        <v>216</v>
      </c>
      <c r="C3" s="13" t="s">
        <v>217</v>
      </c>
      <c r="D3" s="6" t="s">
        <v>218</v>
      </c>
      <c r="E3" s="13" t="s">
        <v>219</v>
      </c>
      <c r="F3" s="13" t="s">
        <v>220</v>
      </c>
      <c r="G3" s="12" t="s">
        <v>27</v>
      </c>
      <c r="H3" t="s">
        <v>27</v>
      </c>
      <c r="I3" t="s">
        <v>27</v>
      </c>
      <c r="J3" t="s">
        <v>27</v>
      </c>
      <c r="K3" t="s">
        <v>27</v>
      </c>
    </row>
    <row r="4" spans="1:11" ht="76.5" customHeight="1">
      <c r="A4" s="54"/>
      <c r="B4" s="54"/>
      <c r="C4" s="58" t="s">
        <v>221</v>
      </c>
      <c r="D4" s="53" t="s">
        <v>218</v>
      </c>
      <c r="E4" s="6" t="s">
        <v>222</v>
      </c>
      <c r="F4" s="13" t="s">
        <v>223</v>
      </c>
      <c r="G4" s="12" t="s">
        <v>28</v>
      </c>
      <c r="H4" t="s">
        <v>27</v>
      </c>
      <c r="I4" t="s">
        <v>27</v>
      </c>
      <c r="J4" t="s">
        <v>27</v>
      </c>
      <c r="K4" t="s">
        <v>27</v>
      </c>
    </row>
    <row r="5" spans="1:11" ht="45.75" customHeight="1">
      <c r="A5" s="58"/>
      <c r="B5" s="54"/>
      <c r="C5" s="58"/>
      <c r="D5" s="53"/>
      <c r="E5" s="6" t="s">
        <v>224</v>
      </c>
      <c r="F5" s="13" t="s">
        <v>225</v>
      </c>
      <c r="G5" s="12"/>
    </row>
    <row r="6" spans="1:11" ht="121.5" customHeight="1">
      <c r="B6" s="54"/>
      <c r="C6" s="58" t="s">
        <v>226</v>
      </c>
      <c r="D6" s="53" t="s">
        <v>218</v>
      </c>
      <c r="E6" s="13" t="s">
        <v>219</v>
      </c>
      <c r="F6" s="13" t="s">
        <v>613</v>
      </c>
      <c r="G6" s="12" t="s">
        <v>28</v>
      </c>
      <c r="H6" t="s">
        <v>27</v>
      </c>
      <c r="I6" t="s">
        <v>27</v>
      </c>
      <c r="J6" t="s">
        <v>27</v>
      </c>
      <c r="K6" t="s">
        <v>27</v>
      </c>
    </row>
    <row r="7" spans="1:11" ht="45.75" customHeight="1">
      <c r="B7" s="54"/>
      <c r="C7" s="58"/>
      <c r="D7" s="53"/>
      <c r="E7" s="13" t="s">
        <v>227</v>
      </c>
      <c r="F7" s="13" t="s">
        <v>228</v>
      </c>
      <c r="G7" s="12"/>
    </row>
    <row r="8" spans="1:11" ht="30.75" customHeight="1">
      <c r="B8" s="54"/>
      <c r="C8" s="13" t="s">
        <v>229</v>
      </c>
      <c r="D8" s="6" t="s">
        <v>218</v>
      </c>
      <c r="E8" s="25" t="s">
        <v>230</v>
      </c>
      <c r="F8" s="25" t="s">
        <v>230</v>
      </c>
      <c r="G8" s="12"/>
    </row>
    <row r="9" spans="1:11" ht="30.75" customHeight="1">
      <c r="B9" s="54"/>
      <c r="C9" s="13" t="s">
        <v>231</v>
      </c>
      <c r="D9" s="6" t="s">
        <v>218</v>
      </c>
      <c r="E9" s="25" t="s">
        <v>230</v>
      </c>
      <c r="F9" s="25" t="s">
        <v>230</v>
      </c>
      <c r="G9" s="12"/>
    </row>
    <row r="10" spans="1:11" ht="91.5" customHeight="1">
      <c r="B10" s="54"/>
      <c r="C10" s="13" t="s">
        <v>232</v>
      </c>
      <c r="D10" s="6" t="s">
        <v>218</v>
      </c>
      <c r="E10" s="13" t="s">
        <v>233</v>
      </c>
      <c r="F10" s="13" t="s">
        <v>234</v>
      </c>
      <c r="G10" s="12" t="s">
        <v>27</v>
      </c>
      <c r="H10" t="s">
        <v>28</v>
      </c>
      <c r="I10" t="s">
        <v>28</v>
      </c>
      <c r="J10" t="s">
        <v>27</v>
      </c>
      <c r="K10" t="s">
        <v>27</v>
      </c>
    </row>
    <row r="11" spans="1:11" ht="140.25" customHeight="1">
      <c r="B11" s="54"/>
      <c r="C11" s="13" t="s">
        <v>235</v>
      </c>
      <c r="D11" s="6" t="s">
        <v>218</v>
      </c>
      <c r="E11" s="13" t="s">
        <v>236</v>
      </c>
      <c r="F11" s="13" t="s">
        <v>237</v>
      </c>
      <c r="G11" s="12" t="s">
        <v>27</v>
      </c>
      <c r="H11" t="s">
        <v>28</v>
      </c>
      <c r="I11" t="s">
        <v>28</v>
      </c>
      <c r="J11" t="s">
        <v>27</v>
      </c>
      <c r="K11" t="s">
        <v>27</v>
      </c>
    </row>
    <row r="12" spans="1:11">
      <c r="A12" s="20"/>
      <c r="B12" s="20"/>
      <c r="C12" s="20"/>
      <c r="D12" s="20"/>
      <c r="E12" s="20"/>
      <c r="F12" s="20"/>
      <c r="G12" s="19"/>
      <c r="H12" s="19"/>
    </row>
    <row r="13" spans="1:11">
      <c r="A13" s="57" t="s">
        <v>238</v>
      </c>
      <c r="B13" s="54"/>
      <c r="C13" s="58"/>
      <c r="D13" s="53"/>
      <c r="E13" s="58"/>
      <c r="F13" s="58"/>
      <c r="G13" s="58"/>
      <c r="H13" s="2"/>
    </row>
  </sheetData>
  <mergeCells count="8">
    <mergeCell ref="A2:G2"/>
    <mergeCell ref="C6:C7"/>
    <mergeCell ref="D6:D7"/>
    <mergeCell ref="A13:G13"/>
    <mergeCell ref="C4:C5"/>
    <mergeCell ref="A4:A5"/>
    <mergeCell ref="D4:D5"/>
    <mergeCell ref="B3:B11"/>
  </mergeCells>
  <conditionalFormatting sqref="G1:H13">
    <cfRule type="cellIs" dxfId="27" priority="33" operator="equal">
      <formula>"No"</formula>
    </cfRule>
    <cfRule type="cellIs" dxfId="26" priority="34" operator="equal">
      <formula>"Si"</formula>
    </cfRule>
  </conditionalFormatting>
  <conditionalFormatting sqref="I1:K1">
    <cfRule type="cellIs" dxfId="25" priority="31" operator="equal">
      <formula>"No"</formula>
    </cfRule>
    <cfRule type="cellIs" dxfId="24" priority="32" operator="equal">
      <formula>"Si"</formula>
    </cfRule>
  </conditionalFormatting>
  <conditionalFormatting sqref="I3:K4">
    <cfRule type="cellIs" dxfId="23" priority="3" operator="equal">
      <formula>"No"</formula>
    </cfRule>
    <cfRule type="cellIs" dxfId="22" priority="4" operator="equal">
      <formula>"Si"</formula>
    </cfRule>
  </conditionalFormatting>
  <conditionalFormatting sqref="I6:K6">
    <cfRule type="cellIs" dxfId="21" priority="7" operator="equal">
      <formula>"No"</formula>
    </cfRule>
    <cfRule type="cellIs" dxfId="20" priority="8" operator="equal">
      <formula>"Si"</formula>
    </cfRule>
  </conditionalFormatting>
  <conditionalFormatting sqref="I10:K11">
    <cfRule type="cellIs" dxfId="19" priority="1" operator="equal">
      <formula>"No"</formula>
    </cfRule>
    <cfRule type="cellIs" dxfId="18" priority="2" operator="equal">
      <formula>"Si"</formula>
    </cfRule>
  </conditionalFormatting>
  <dataValidations count="1">
    <dataValidation type="list" allowBlank="1" showInputMessage="1" showErrorMessage="1" sqref="G3:H12" xr:uid="{00000000-0002-0000-0300-000000000000}">
      <formula1>"Si,No"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K37"/>
  <sheetViews>
    <sheetView topLeftCell="E1" workbookViewId="0">
      <pane ySplit="1" topLeftCell="A27" activePane="bottomLeft" state="frozen"/>
      <selection pane="bottomLeft" activeCell="K31" sqref="K31"/>
    </sheetView>
  </sheetViews>
  <sheetFormatPr baseColWidth="10" defaultColWidth="9.140625" defaultRowHeight="15"/>
  <cols>
    <col min="1" max="1" width="9.140625" style="12" customWidth="1"/>
    <col min="2" max="2" width="30.7109375" style="12" customWidth="1"/>
    <col min="3" max="3" width="63.42578125" style="6" customWidth="1"/>
    <col min="4" max="4" width="32.42578125" style="13" customWidth="1"/>
    <col min="5" max="5" width="45.7109375" style="13" customWidth="1"/>
    <col min="6" max="6" width="32.42578125" style="13" customWidth="1"/>
    <col min="7" max="7" width="19.5703125" style="12" customWidth="1"/>
    <col min="8" max="11" width="18.28515625" style="13" customWidth="1"/>
    <col min="12" max="16384" width="9.140625" style="13"/>
  </cols>
  <sheetData>
    <row r="1" spans="1:11" ht="17.25" customHeight="1">
      <c r="A1" s="1" t="s">
        <v>12</v>
      </c>
      <c r="B1" s="1" t="s">
        <v>13</v>
      </c>
      <c r="C1" s="14" t="s">
        <v>14</v>
      </c>
      <c r="D1" s="15" t="s">
        <v>15</v>
      </c>
      <c r="E1" s="15" t="s">
        <v>16</v>
      </c>
      <c r="F1" s="15" t="s">
        <v>17</v>
      </c>
      <c r="G1" s="1" t="s">
        <v>214</v>
      </c>
      <c r="H1" s="15" t="s">
        <v>19</v>
      </c>
      <c r="I1" s="15" t="s">
        <v>580</v>
      </c>
      <c r="J1" s="15" t="s">
        <v>583</v>
      </c>
      <c r="K1" s="15" t="s">
        <v>584</v>
      </c>
    </row>
    <row r="2" spans="1:11" ht="14.25" customHeight="1">
      <c r="A2" s="2" t="s">
        <v>215</v>
      </c>
      <c r="B2" s="2"/>
      <c r="C2" s="16"/>
      <c r="D2" s="17"/>
      <c r="E2" s="2"/>
      <c r="F2" s="2"/>
      <c r="G2" s="2"/>
      <c r="H2" s="2"/>
    </row>
    <row r="3" spans="1:11" ht="60.75" customHeight="1">
      <c r="A3" s="7" t="s">
        <v>161</v>
      </c>
      <c r="B3" s="56" t="s">
        <v>239</v>
      </c>
      <c r="C3" s="18" t="s">
        <v>240</v>
      </c>
      <c r="D3" s="8" t="s">
        <v>241</v>
      </c>
      <c r="E3" s="8" t="s">
        <v>242</v>
      </c>
      <c r="F3" s="8" t="s">
        <v>243</v>
      </c>
      <c r="G3" s="12" t="s">
        <v>27</v>
      </c>
      <c r="H3" s="12" t="s">
        <v>27</v>
      </c>
      <c r="I3" s="12" t="s">
        <v>27</v>
      </c>
      <c r="J3" s="12" t="s">
        <v>27</v>
      </c>
      <c r="K3" s="12" t="s">
        <v>27</v>
      </c>
    </row>
    <row r="4" spans="1:11" ht="76.5" customHeight="1">
      <c r="A4" s="7" t="s">
        <v>167</v>
      </c>
      <c r="B4" s="54"/>
      <c r="C4" s="18" t="s">
        <v>244</v>
      </c>
      <c r="D4" s="8" t="s">
        <v>241</v>
      </c>
      <c r="E4" s="8" t="s">
        <v>245</v>
      </c>
      <c r="F4" s="8" t="s">
        <v>246</v>
      </c>
      <c r="G4" s="12" t="s">
        <v>27</v>
      </c>
      <c r="H4" s="12" t="s">
        <v>27</v>
      </c>
      <c r="I4" s="12" t="s">
        <v>27</v>
      </c>
      <c r="J4" s="12" t="s">
        <v>27</v>
      </c>
      <c r="K4" s="12" t="s">
        <v>27</v>
      </c>
    </row>
    <row r="5" spans="1:11" ht="76.5" customHeight="1">
      <c r="A5" s="7" t="s">
        <v>171</v>
      </c>
      <c r="B5" s="54"/>
      <c r="C5" s="18" t="s">
        <v>247</v>
      </c>
      <c r="D5" s="8" t="s">
        <v>248</v>
      </c>
      <c r="E5" s="8" t="s">
        <v>249</v>
      </c>
      <c r="F5" s="8" t="s">
        <v>250</v>
      </c>
      <c r="G5" s="12" t="s">
        <v>27</v>
      </c>
      <c r="H5" s="12" t="s">
        <v>27</v>
      </c>
      <c r="I5" s="12" t="s">
        <v>28</v>
      </c>
      <c r="J5" s="12" t="s">
        <v>27</v>
      </c>
      <c r="K5" s="12" t="s">
        <v>28</v>
      </c>
    </row>
    <row r="6" spans="1:11" ht="60.75" customHeight="1">
      <c r="A6" s="7" t="s">
        <v>176</v>
      </c>
      <c r="B6" s="54"/>
      <c r="C6" s="18" t="s">
        <v>251</v>
      </c>
      <c r="D6" s="8" t="s">
        <v>252</v>
      </c>
      <c r="E6" s="8" t="s">
        <v>249</v>
      </c>
      <c r="F6" s="8" t="s">
        <v>253</v>
      </c>
      <c r="G6" s="12" t="s">
        <v>28</v>
      </c>
      <c r="H6" s="12" t="s">
        <v>27</v>
      </c>
      <c r="I6" s="12" t="s">
        <v>27</v>
      </c>
      <c r="J6" s="12" t="s">
        <v>27</v>
      </c>
      <c r="K6" s="12" t="s">
        <v>27</v>
      </c>
    </row>
    <row r="7" spans="1:11">
      <c r="A7" s="19"/>
      <c r="B7" s="19"/>
      <c r="C7" s="20"/>
      <c r="D7" s="21"/>
      <c r="E7" s="20"/>
      <c r="F7" s="20"/>
      <c r="G7" s="19"/>
      <c r="H7" s="19"/>
    </row>
    <row r="8" spans="1:11" ht="91.5" customHeight="1">
      <c r="A8" s="10" t="s">
        <v>161</v>
      </c>
      <c r="B8" s="55" t="s">
        <v>254</v>
      </c>
      <c r="C8" s="22" t="s">
        <v>255</v>
      </c>
      <c r="D8" s="11" t="s">
        <v>256</v>
      </c>
      <c r="E8" s="11" t="s">
        <v>257</v>
      </c>
      <c r="F8" s="11" t="s">
        <v>258</v>
      </c>
      <c r="G8" s="12" t="s">
        <v>27</v>
      </c>
      <c r="H8" s="12" t="s">
        <v>27</v>
      </c>
      <c r="I8" s="12" t="s">
        <v>27</v>
      </c>
      <c r="J8" s="12" t="s">
        <v>27</v>
      </c>
      <c r="K8" s="12" t="s">
        <v>27</v>
      </c>
    </row>
    <row r="9" spans="1:11" ht="91.5" customHeight="1">
      <c r="A9" s="10" t="s">
        <v>167</v>
      </c>
      <c r="B9" s="54"/>
      <c r="C9" s="22" t="s">
        <v>259</v>
      </c>
      <c r="D9" s="11" t="s">
        <v>256</v>
      </c>
      <c r="E9" s="11" t="s">
        <v>260</v>
      </c>
      <c r="F9" s="11" t="s">
        <v>261</v>
      </c>
      <c r="G9" s="12" t="s">
        <v>28</v>
      </c>
      <c r="H9" s="12" t="s">
        <v>27</v>
      </c>
      <c r="I9" s="12" t="s">
        <v>27</v>
      </c>
      <c r="J9" s="12" t="s">
        <v>27</v>
      </c>
      <c r="K9" s="12" t="s">
        <v>27</v>
      </c>
    </row>
    <row r="10" spans="1:11" ht="106.5" customHeight="1">
      <c r="A10" s="10" t="s">
        <v>171</v>
      </c>
      <c r="B10" s="54"/>
      <c r="C10" s="59" t="s">
        <v>262</v>
      </c>
      <c r="D10" s="59" t="s">
        <v>263</v>
      </c>
      <c r="E10" s="11" t="s">
        <v>264</v>
      </c>
      <c r="F10" s="11" t="s">
        <v>265</v>
      </c>
      <c r="G10" s="54" t="s">
        <v>28</v>
      </c>
      <c r="H10" s="12" t="s">
        <v>27</v>
      </c>
      <c r="I10" s="12" t="s">
        <v>27</v>
      </c>
      <c r="J10" s="12" t="s">
        <v>27</v>
      </c>
      <c r="K10" s="12" t="s">
        <v>27</v>
      </c>
    </row>
    <row r="11" spans="1:11" ht="106.5" customHeight="1">
      <c r="A11" s="10" t="s">
        <v>176</v>
      </c>
      <c r="B11" s="54"/>
      <c r="C11" s="53"/>
      <c r="D11" s="58"/>
      <c r="E11" s="11" t="s">
        <v>266</v>
      </c>
      <c r="F11" s="11" t="s">
        <v>265</v>
      </c>
      <c r="G11" s="54"/>
      <c r="H11" s="12" t="s">
        <v>27</v>
      </c>
      <c r="I11" s="12" t="s">
        <v>27</v>
      </c>
      <c r="J11" s="12" t="s">
        <v>27</v>
      </c>
      <c r="K11" s="12" t="s">
        <v>27</v>
      </c>
    </row>
    <row r="12" spans="1:11" ht="76.5" customHeight="1">
      <c r="A12" s="10" t="s">
        <v>179</v>
      </c>
      <c r="B12" s="54"/>
      <c r="C12" s="22" t="s">
        <v>267</v>
      </c>
      <c r="D12" s="11" t="s">
        <v>263</v>
      </c>
      <c r="E12" s="11" t="s">
        <v>268</v>
      </c>
      <c r="F12" s="11" t="s">
        <v>269</v>
      </c>
      <c r="G12" s="12" t="s">
        <v>27</v>
      </c>
      <c r="H12" s="12" t="s">
        <v>27</v>
      </c>
      <c r="I12" s="12" t="s">
        <v>27</v>
      </c>
      <c r="J12" s="12" t="s">
        <v>27</v>
      </c>
      <c r="K12" s="12" t="s">
        <v>27</v>
      </c>
    </row>
    <row r="13" spans="1:11" ht="76.5" customHeight="1">
      <c r="A13" s="10" t="s">
        <v>270</v>
      </c>
      <c r="B13" s="54"/>
      <c r="C13" s="22" t="s">
        <v>271</v>
      </c>
      <c r="D13" s="11" t="s">
        <v>263</v>
      </c>
      <c r="E13" s="11" t="s">
        <v>260</v>
      </c>
      <c r="F13" s="22" t="s">
        <v>272</v>
      </c>
      <c r="G13" s="12" t="s">
        <v>28</v>
      </c>
      <c r="H13" s="12" t="s">
        <v>27</v>
      </c>
      <c r="I13" s="12" t="s">
        <v>27</v>
      </c>
      <c r="J13" s="12" t="s">
        <v>27</v>
      </c>
      <c r="K13" s="12" t="s">
        <v>27</v>
      </c>
    </row>
    <row r="14" spans="1:11" ht="76.5" customHeight="1">
      <c r="A14" s="10" t="s">
        <v>273</v>
      </c>
      <c r="B14" s="54"/>
      <c r="C14" s="22" t="s">
        <v>274</v>
      </c>
      <c r="D14" s="11" t="s">
        <v>275</v>
      </c>
      <c r="E14" s="11" t="s">
        <v>276</v>
      </c>
      <c r="F14" s="22" t="s">
        <v>277</v>
      </c>
      <c r="G14" s="12" t="s">
        <v>28</v>
      </c>
      <c r="H14" s="12" t="s">
        <v>27</v>
      </c>
      <c r="I14" s="12" t="s">
        <v>27</v>
      </c>
      <c r="J14" s="12" t="s">
        <v>27</v>
      </c>
      <c r="K14" s="12" t="s">
        <v>27</v>
      </c>
    </row>
    <row r="15" spans="1:11" ht="76.5" customHeight="1">
      <c r="A15" s="10" t="s">
        <v>278</v>
      </c>
      <c r="B15" s="54"/>
      <c r="C15" s="22" t="s">
        <v>279</v>
      </c>
      <c r="D15" s="11" t="s">
        <v>275</v>
      </c>
      <c r="E15" s="11" t="s">
        <v>280</v>
      </c>
      <c r="F15" s="22" t="s">
        <v>277</v>
      </c>
      <c r="G15" s="12" t="s">
        <v>28</v>
      </c>
      <c r="H15" s="12" t="s">
        <v>27</v>
      </c>
      <c r="I15" s="12" t="s">
        <v>28</v>
      </c>
      <c r="J15" s="12" t="s">
        <v>27</v>
      </c>
      <c r="K15" s="12" t="s">
        <v>27</v>
      </c>
    </row>
    <row r="16" spans="1:11" ht="76.5" customHeight="1">
      <c r="A16" s="10" t="s">
        <v>281</v>
      </c>
      <c r="B16" s="54"/>
      <c r="C16" s="22" t="s">
        <v>282</v>
      </c>
      <c r="D16" s="11" t="s">
        <v>275</v>
      </c>
      <c r="E16" s="11" t="s">
        <v>283</v>
      </c>
      <c r="F16" s="11" t="s">
        <v>284</v>
      </c>
      <c r="G16" s="12" t="s">
        <v>27</v>
      </c>
      <c r="H16" s="12" t="s">
        <v>27</v>
      </c>
      <c r="I16" s="12" t="s">
        <v>27</v>
      </c>
      <c r="J16" s="12" t="s">
        <v>27</v>
      </c>
      <c r="K16" s="12" t="s">
        <v>27</v>
      </c>
    </row>
    <row r="17" spans="1:11" ht="76.5" customHeight="1">
      <c r="A17" s="10" t="s">
        <v>285</v>
      </c>
      <c r="B17" s="54"/>
      <c r="C17" s="22" t="s">
        <v>286</v>
      </c>
      <c r="D17" s="11" t="s">
        <v>275</v>
      </c>
      <c r="E17" s="11" t="s">
        <v>260</v>
      </c>
      <c r="F17" s="11" t="s">
        <v>287</v>
      </c>
      <c r="G17" s="12" t="s">
        <v>28</v>
      </c>
      <c r="H17" s="12" t="s">
        <v>27</v>
      </c>
      <c r="I17" s="12" t="s">
        <v>27</v>
      </c>
      <c r="J17" s="12" t="s">
        <v>27</v>
      </c>
      <c r="K17" s="12" t="s">
        <v>27</v>
      </c>
    </row>
    <row r="18" spans="1:11" ht="121.5" customHeight="1">
      <c r="A18" s="10" t="s">
        <v>288</v>
      </c>
      <c r="B18" s="54"/>
      <c r="C18" s="22" t="s">
        <v>289</v>
      </c>
      <c r="D18" s="11" t="s">
        <v>290</v>
      </c>
      <c r="E18" s="11" t="s">
        <v>291</v>
      </c>
      <c r="F18" s="11" t="s">
        <v>292</v>
      </c>
      <c r="G18" s="12" t="s">
        <v>27</v>
      </c>
      <c r="H18" s="12" t="s">
        <v>27</v>
      </c>
      <c r="I18" s="12" t="s">
        <v>27</v>
      </c>
      <c r="J18" s="12" t="s">
        <v>27</v>
      </c>
      <c r="K18" s="12" t="s">
        <v>27</v>
      </c>
    </row>
    <row r="19" spans="1:11" ht="121.5" customHeight="1">
      <c r="A19" s="10" t="s">
        <v>293</v>
      </c>
      <c r="B19" s="54"/>
      <c r="C19" s="22" t="s">
        <v>294</v>
      </c>
      <c r="D19" s="11" t="s">
        <v>295</v>
      </c>
      <c r="E19" s="11" t="s">
        <v>291</v>
      </c>
      <c r="F19" s="11" t="s">
        <v>296</v>
      </c>
      <c r="G19" s="12" t="s">
        <v>27</v>
      </c>
      <c r="H19" s="12" t="s">
        <v>27</v>
      </c>
      <c r="I19" s="12" t="s">
        <v>27</v>
      </c>
      <c r="J19" s="12" t="s">
        <v>27</v>
      </c>
      <c r="K19" s="12" t="s">
        <v>27</v>
      </c>
    </row>
    <row r="20" spans="1:11" ht="76.5" customHeight="1">
      <c r="A20" s="10" t="s">
        <v>297</v>
      </c>
      <c r="B20" s="54"/>
      <c r="C20" s="22" t="s">
        <v>298</v>
      </c>
      <c r="D20" s="11" t="s">
        <v>299</v>
      </c>
      <c r="E20" s="11" t="s">
        <v>300</v>
      </c>
      <c r="F20" s="11" t="s">
        <v>301</v>
      </c>
      <c r="G20" s="12" t="s">
        <v>27</v>
      </c>
      <c r="H20" s="12" t="s">
        <v>27</v>
      </c>
      <c r="I20" s="12" t="s">
        <v>27</v>
      </c>
      <c r="J20" s="12" t="s">
        <v>27</v>
      </c>
      <c r="K20" s="12" t="s">
        <v>27</v>
      </c>
    </row>
    <row r="21" spans="1:11" ht="76.5" customHeight="1">
      <c r="A21" s="10" t="s">
        <v>302</v>
      </c>
      <c r="B21" s="54"/>
      <c r="C21" s="22" t="s">
        <v>303</v>
      </c>
      <c r="D21" s="11" t="s">
        <v>299</v>
      </c>
      <c r="E21" s="11" t="s">
        <v>260</v>
      </c>
      <c r="F21" s="11" t="s">
        <v>269</v>
      </c>
      <c r="G21" s="12" t="s">
        <v>28</v>
      </c>
      <c r="H21" s="12" t="s">
        <v>27</v>
      </c>
      <c r="I21" s="12" t="s">
        <v>27</v>
      </c>
      <c r="J21" s="12" t="s">
        <v>27</v>
      </c>
      <c r="K21" s="12" t="s">
        <v>27</v>
      </c>
    </row>
    <row r="22" spans="1:11" ht="76.5" customHeight="1">
      <c r="A22" s="10" t="s">
        <v>304</v>
      </c>
      <c r="B22" s="54"/>
      <c r="C22" s="22" t="s">
        <v>305</v>
      </c>
      <c r="D22" s="11" t="s">
        <v>306</v>
      </c>
      <c r="E22" s="11" t="s">
        <v>307</v>
      </c>
      <c r="F22" s="11" t="s">
        <v>308</v>
      </c>
      <c r="G22" s="12" t="s">
        <v>28</v>
      </c>
      <c r="H22" s="12" t="s">
        <v>28</v>
      </c>
      <c r="I22" s="12" t="s">
        <v>28</v>
      </c>
      <c r="J22" s="12" t="s">
        <v>28</v>
      </c>
      <c r="K22" s="12" t="s">
        <v>27</v>
      </c>
    </row>
    <row r="23" spans="1:11" ht="76.5" customHeight="1">
      <c r="A23" s="10" t="s">
        <v>309</v>
      </c>
      <c r="B23" s="54"/>
      <c r="C23" s="22" t="s">
        <v>310</v>
      </c>
      <c r="D23" s="11" t="s">
        <v>306</v>
      </c>
      <c r="E23" s="11" t="s">
        <v>311</v>
      </c>
      <c r="F23" s="11" t="s">
        <v>312</v>
      </c>
      <c r="G23" s="12" t="s">
        <v>27</v>
      </c>
      <c r="H23" s="12" t="s">
        <v>27</v>
      </c>
      <c r="I23" s="12" t="s">
        <v>27</v>
      </c>
      <c r="J23" s="12" t="s">
        <v>27</v>
      </c>
      <c r="K23" s="12" t="s">
        <v>27</v>
      </c>
    </row>
    <row r="24" spans="1:11" ht="76.5" customHeight="1">
      <c r="A24" s="10" t="s">
        <v>313</v>
      </c>
      <c r="B24" s="54"/>
      <c r="C24" s="22" t="s">
        <v>314</v>
      </c>
      <c r="D24" s="11" t="s">
        <v>306</v>
      </c>
      <c r="E24" s="11" t="s">
        <v>260</v>
      </c>
      <c r="F24" s="11" t="s">
        <v>284</v>
      </c>
      <c r="G24" s="12" t="s">
        <v>28</v>
      </c>
      <c r="H24" s="12" t="s">
        <v>27</v>
      </c>
      <c r="I24" s="12" t="s">
        <v>27</v>
      </c>
      <c r="J24" s="12" t="s">
        <v>27</v>
      </c>
      <c r="K24" s="12" t="s">
        <v>27</v>
      </c>
    </row>
    <row r="25" spans="1:11" ht="106.5" customHeight="1">
      <c r="A25" s="10" t="s">
        <v>315</v>
      </c>
      <c r="B25" s="54"/>
      <c r="C25" s="22" t="s">
        <v>316</v>
      </c>
      <c r="D25" s="11" t="s">
        <v>317</v>
      </c>
      <c r="E25" s="11" t="s">
        <v>318</v>
      </c>
      <c r="F25" s="11" t="s">
        <v>319</v>
      </c>
      <c r="G25" s="12" t="s">
        <v>28</v>
      </c>
      <c r="H25" s="12" t="s">
        <v>28</v>
      </c>
      <c r="I25" s="12" t="s">
        <v>581</v>
      </c>
      <c r="J25" s="12" t="s">
        <v>27</v>
      </c>
    </row>
    <row r="26" spans="1:11" ht="106.5" customHeight="1">
      <c r="A26" s="10" t="s">
        <v>320</v>
      </c>
      <c r="B26" s="54"/>
      <c r="C26" s="59" t="s">
        <v>321</v>
      </c>
      <c r="D26" s="59" t="s">
        <v>322</v>
      </c>
      <c r="E26" s="11" t="s">
        <v>323</v>
      </c>
      <c r="F26" s="11" t="s">
        <v>324</v>
      </c>
      <c r="G26" s="54" t="s">
        <v>28</v>
      </c>
      <c r="H26" s="54" t="s">
        <v>28</v>
      </c>
      <c r="I26" s="12" t="s">
        <v>28</v>
      </c>
      <c r="J26" s="12" t="s">
        <v>28</v>
      </c>
    </row>
    <row r="27" spans="1:11" ht="60.75" customHeight="1">
      <c r="A27" s="10" t="s">
        <v>325</v>
      </c>
      <c r="B27" s="54"/>
      <c r="C27" s="53"/>
      <c r="D27" s="58"/>
      <c r="E27" s="11" t="s">
        <v>326</v>
      </c>
      <c r="F27" s="11" t="s">
        <v>327</v>
      </c>
      <c r="G27" s="54"/>
      <c r="H27" s="58"/>
    </row>
    <row r="28" spans="1:11" ht="76.5" customHeight="1">
      <c r="A28" s="10" t="s">
        <v>328</v>
      </c>
      <c r="B28" s="54"/>
      <c r="C28" s="22" t="s">
        <v>329</v>
      </c>
      <c r="D28" s="11" t="s">
        <v>330</v>
      </c>
      <c r="E28" s="11" t="s">
        <v>331</v>
      </c>
      <c r="F28" s="11" t="s">
        <v>332</v>
      </c>
      <c r="G28" s="12" t="s">
        <v>28</v>
      </c>
      <c r="H28" s="12" t="s">
        <v>27</v>
      </c>
      <c r="I28" s="12" t="s">
        <v>28</v>
      </c>
      <c r="J28" s="12" t="s">
        <v>27</v>
      </c>
      <c r="K28" s="12" t="s">
        <v>28</v>
      </c>
    </row>
    <row r="29" spans="1:11" ht="76.5" customHeight="1">
      <c r="A29" s="10" t="s">
        <v>333</v>
      </c>
      <c r="B29" s="54"/>
      <c r="C29" s="22" t="s">
        <v>334</v>
      </c>
      <c r="D29" s="11" t="s">
        <v>330</v>
      </c>
      <c r="E29" s="11" t="s">
        <v>335</v>
      </c>
      <c r="F29" s="11" t="s">
        <v>336</v>
      </c>
      <c r="G29" s="12" t="s">
        <v>28</v>
      </c>
      <c r="H29" s="12" t="s">
        <v>27</v>
      </c>
      <c r="I29" s="12" t="s">
        <v>28</v>
      </c>
      <c r="J29" s="12" t="s">
        <v>27</v>
      </c>
      <c r="K29" s="12" t="s">
        <v>28</v>
      </c>
    </row>
    <row r="30" spans="1:11" ht="76.5" customHeight="1">
      <c r="A30" s="10" t="s">
        <v>337</v>
      </c>
      <c r="B30" s="54"/>
      <c r="C30" s="22" t="s">
        <v>338</v>
      </c>
      <c r="D30" s="11" t="s">
        <v>330</v>
      </c>
      <c r="E30" s="11" t="s">
        <v>224</v>
      </c>
      <c r="F30" s="11" t="s">
        <v>339</v>
      </c>
      <c r="G30" s="12" t="s">
        <v>27</v>
      </c>
      <c r="H30" s="12" t="s">
        <v>27</v>
      </c>
      <c r="I30" s="12" t="s">
        <v>27</v>
      </c>
      <c r="J30" s="12" t="s">
        <v>27</v>
      </c>
      <c r="K30" s="12" t="s">
        <v>27</v>
      </c>
    </row>
    <row r="31" spans="1:11" ht="76.5" customHeight="1">
      <c r="A31" s="10" t="s">
        <v>340</v>
      </c>
      <c r="B31" s="54"/>
      <c r="C31" s="22" t="s">
        <v>341</v>
      </c>
      <c r="D31" s="11" t="s">
        <v>330</v>
      </c>
      <c r="E31" s="11" t="s">
        <v>260</v>
      </c>
      <c r="F31" s="11" t="s">
        <v>301</v>
      </c>
      <c r="G31" s="12" t="s">
        <v>28</v>
      </c>
      <c r="H31" s="12" t="s">
        <v>27</v>
      </c>
      <c r="I31" s="12" t="s">
        <v>27</v>
      </c>
      <c r="J31" s="12" t="s">
        <v>27</v>
      </c>
      <c r="K31" s="12" t="s">
        <v>27</v>
      </c>
    </row>
    <row r="32" spans="1:11">
      <c r="A32" s="19"/>
      <c r="B32" s="19"/>
      <c r="C32" s="20"/>
      <c r="D32" s="21"/>
      <c r="E32" s="20"/>
      <c r="F32" s="20"/>
      <c r="G32" s="19"/>
      <c r="H32" s="19"/>
    </row>
    <row r="33" spans="1:11" ht="76.5" customHeight="1">
      <c r="A33" s="7" t="s">
        <v>161</v>
      </c>
      <c r="B33" s="7" t="s">
        <v>342</v>
      </c>
      <c r="C33" s="18" t="s">
        <v>343</v>
      </c>
      <c r="D33" s="8" t="s">
        <v>330</v>
      </c>
      <c r="E33" s="8" t="s">
        <v>344</v>
      </c>
      <c r="F33" s="8" t="s">
        <v>345</v>
      </c>
      <c r="G33" s="12" t="s">
        <v>27</v>
      </c>
      <c r="H33" s="12" t="s">
        <v>27</v>
      </c>
      <c r="I33" s="12" t="s">
        <v>27</v>
      </c>
      <c r="J33" s="12" t="s">
        <v>27</v>
      </c>
      <c r="K33" s="12" t="s">
        <v>27</v>
      </c>
    </row>
    <row r="34" spans="1:11" ht="76.5" customHeight="1">
      <c r="A34" s="7" t="s">
        <v>167</v>
      </c>
      <c r="B34" s="7"/>
      <c r="C34" s="18" t="s">
        <v>346</v>
      </c>
      <c r="D34" s="8" t="s">
        <v>330</v>
      </c>
      <c r="E34" s="8" t="s">
        <v>347</v>
      </c>
      <c r="F34" s="8" t="s">
        <v>348</v>
      </c>
      <c r="G34" s="12" t="s">
        <v>27</v>
      </c>
      <c r="H34" s="12" t="s">
        <v>28</v>
      </c>
      <c r="I34" s="12" t="s">
        <v>28</v>
      </c>
    </row>
    <row r="35" spans="1:11" ht="76.5" customHeight="1">
      <c r="A35" s="19"/>
      <c r="B35" s="19"/>
      <c r="C35" s="20"/>
      <c r="D35" s="21"/>
      <c r="E35" s="20"/>
      <c r="F35" s="20"/>
      <c r="G35" s="19"/>
      <c r="H35" s="19"/>
    </row>
    <row r="36" spans="1:11" ht="91.5" customHeight="1">
      <c r="A36" s="10" t="s">
        <v>161</v>
      </c>
      <c r="B36" s="56" t="s">
        <v>349</v>
      </c>
      <c r="C36" s="22" t="s">
        <v>350</v>
      </c>
      <c r="D36" s="11" t="s">
        <v>351</v>
      </c>
      <c r="E36" s="11" t="s">
        <v>352</v>
      </c>
      <c r="F36" s="11" t="s">
        <v>353</v>
      </c>
      <c r="G36" s="12" t="s">
        <v>27</v>
      </c>
      <c r="H36" s="12" t="s">
        <v>27</v>
      </c>
      <c r="I36" s="12" t="s">
        <v>27</v>
      </c>
      <c r="J36" s="12" t="s">
        <v>27</v>
      </c>
      <c r="K36" s="12" t="s">
        <v>27</v>
      </c>
    </row>
    <row r="37" spans="1:11" ht="90" customHeight="1">
      <c r="A37" s="10" t="s">
        <v>167</v>
      </c>
      <c r="B37" s="54"/>
      <c r="C37" s="23" t="s">
        <v>354</v>
      </c>
      <c r="D37" s="24" t="s">
        <v>351</v>
      </c>
      <c r="E37" s="24" t="s">
        <v>355</v>
      </c>
      <c r="F37" s="24" t="s">
        <v>356</v>
      </c>
      <c r="G37" s="12" t="s">
        <v>28</v>
      </c>
      <c r="H37" s="12" t="s">
        <v>27</v>
      </c>
      <c r="I37" s="12" t="s">
        <v>28</v>
      </c>
      <c r="J37" s="12" t="s">
        <v>27</v>
      </c>
      <c r="K37" s="12" t="s">
        <v>27</v>
      </c>
    </row>
  </sheetData>
  <mergeCells count="10">
    <mergeCell ref="H26:H27"/>
    <mergeCell ref="D10:D11"/>
    <mergeCell ref="B36:B37"/>
    <mergeCell ref="D26:D27"/>
    <mergeCell ref="B3:B6"/>
    <mergeCell ref="B8:B31"/>
    <mergeCell ref="C10:C11"/>
    <mergeCell ref="C26:C27"/>
    <mergeCell ref="G10:G11"/>
    <mergeCell ref="G26:G27"/>
  </mergeCells>
  <conditionalFormatting sqref="G1:G10">
    <cfRule type="cellIs" dxfId="17" priority="5" operator="equal">
      <formula>"No"</formula>
    </cfRule>
    <cfRule type="cellIs" dxfId="16" priority="6" operator="equal">
      <formula>"Si"</formula>
    </cfRule>
  </conditionalFormatting>
  <conditionalFormatting sqref="G32:H32">
    <cfRule type="cellIs" dxfId="15" priority="3" operator="equal">
      <formula>"No"</formula>
    </cfRule>
    <cfRule type="cellIs" dxfId="14" priority="4" operator="equal">
      <formula>"Si"</formula>
    </cfRule>
  </conditionalFormatting>
  <dataValidations count="1">
    <dataValidation type="list" allowBlank="1" showInputMessage="1" showErrorMessage="1" sqref="G3:H10 G12:H26 G28:H36 H11" xr:uid="{00000000-0002-0000-0400-000000000000}">
      <formula1>"Si,No"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60"/>
  <sheetViews>
    <sheetView workbookViewId="0">
      <pane xSplit="2" ySplit="1" topLeftCell="F27" activePane="bottomRight" state="frozen"/>
      <selection pane="topRight"/>
      <selection pane="bottomLeft"/>
      <selection pane="bottomRight" activeCell="K31" sqref="K31"/>
    </sheetView>
  </sheetViews>
  <sheetFormatPr baseColWidth="10" defaultColWidth="9.140625" defaultRowHeight="15"/>
  <cols>
    <col min="1" max="1" width="9.140625" style="4" customWidth="1"/>
    <col min="2" max="2" width="30.7109375" style="5" customWidth="1"/>
    <col min="3" max="3" width="68.5703125" style="5" customWidth="1"/>
    <col min="4" max="4" width="42" style="5" customWidth="1"/>
    <col min="5" max="5" width="50.5703125" style="5" customWidth="1"/>
    <col min="6" max="6" width="42" style="6" customWidth="1"/>
    <col min="7" max="7" width="13.5703125" style="4" customWidth="1"/>
    <col min="8" max="11" width="18.28515625" style="5" customWidth="1"/>
    <col min="12" max="16384" width="9.140625" style="5"/>
  </cols>
  <sheetData>
    <row r="1" spans="1:11" s="4" customFormat="1" ht="30">
      <c r="A1" s="1" t="s">
        <v>12</v>
      </c>
      <c r="B1" s="1" t="s">
        <v>13</v>
      </c>
      <c r="C1" s="1" t="s">
        <v>14</v>
      </c>
      <c r="D1" s="1" t="s">
        <v>15</v>
      </c>
      <c r="E1" s="1" t="s">
        <v>16</v>
      </c>
      <c r="F1" s="1" t="s">
        <v>17</v>
      </c>
      <c r="G1" s="1" t="s">
        <v>214</v>
      </c>
      <c r="H1" s="1" t="s">
        <v>19</v>
      </c>
      <c r="I1" s="1" t="s">
        <v>580</v>
      </c>
      <c r="J1" s="1" t="s">
        <v>583</v>
      </c>
      <c r="K1" s="1" t="s">
        <v>584</v>
      </c>
    </row>
    <row r="2" spans="1:11" s="4" customFormat="1" ht="16.5" customHeight="1">
      <c r="A2" s="57" t="s">
        <v>357</v>
      </c>
      <c r="B2" s="61"/>
      <c r="C2" s="61"/>
      <c r="D2" s="61"/>
      <c r="E2" s="61"/>
      <c r="F2" s="61"/>
      <c r="G2" s="61"/>
      <c r="H2" s="61"/>
    </row>
    <row r="3" spans="1:11" ht="30.75" customHeight="1">
      <c r="A3" s="7" t="s">
        <v>358</v>
      </c>
      <c r="B3" s="56" t="s">
        <v>359</v>
      </c>
      <c r="C3" s="8" t="s">
        <v>360</v>
      </c>
      <c r="D3" s="8" t="s">
        <v>361</v>
      </c>
      <c r="E3" s="8" t="s">
        <v>362</v>
      </c>
      <c r="F3" s="8" t="s">
        <v>363</v>
      </c>
      <c r="G3" s="7" t="s">
        <v>27</v>
      </c>
      <c r="H3" s="7" t="s">
        <v>27</v>
      </c>
      <c r="I3" s="7" t="s">
        <v>27</v>
      </c>
      <c r="J3" s="7" t="s">
        <v>27</v>
      </c>
      <c r="K3" s="7" t="s">
        <v>27</v>
      </c>
    </row>
    <row r="4" spans="1:11" ht="30.75" customHeight="1">
      <c r="A4" s="7" t="s">
        <v>364</v>
      </c>
      <c r="B4" s="60"/>
      <c r="C4" s="8" t="s">
        <v>365</v>
      </c>
      <c r="D4" s="8" t="s">
        <v>366</v>
      </c>
      <c r="E4" s="8" t="s">
        <v>367</v>
      </c>
      <c r="F4" s="8" t="s">
        <v>368</v>
      </c>
      <c r="G4" s="7" t="s">
        <v>28</v>
      </c>
      <c r="H4" s="7" t="s">
        <v>27</v>
      </c>
      <c r="I4" s="7" t="s">
        <v>27</v>
      </c>
      <c r="J4" s="7" t="s">
        <v>27</v>
      </c>
      <c r="K4" s="7" t="s">
        <v>27</v>
      </c>
    </row>
    <row r="5" spans="1:11" ht="30.75" customHeight="1">
      <c r="A5" s="7" t="s">
        <v>369</v>
      </c>
      <c r="B5" s="60"/>
      <c r="C5" s="8" t="s">
        <v>370</v>
      </c>
      <c r="D5" s="8" t="s">
        <v>371</v>
      </c>
      <c r="E5" s="8" t="s">
        <v>372</v>
      </c>
      <c r="F5" s="8" t="s">
        <v>373</v>
      </c>
      <c r="G5" s="7" t="s">
        <v>28</v>
      </c>
      <c r="H5" s="7" t="s">
        <v>27</v>
      </c>
      <c r="I5" s="7" t="s">
        <v>27</v>
      </c>
      <c r="J5" s="7" t="s">
        <v>27</v>
      </c>
      <c r="K5" s="7" t="s">
        <v>27</v>
      </c>
    </row>
    <row r="6" spans="1:11" ht="135" customHeight="1">
      <c r="A6" s="7" t="s">
        <v>374</v>
      </c>
      <c r="B6" s="60"/>
      <c r="C6" s="8" t="s">
        <v>375</v>
      </c>
      <c r="D6" s="8" t="s">
        <v>376</v>
      </c>
      <c r="E6" s="8" t="s">
        <v>377</v>
      </c>
      <c r="F6" s="8" t="s">
        <v>378</v>
      </c>
      <c r="G6" s="7" t="s">
        <v>27</v>
      </c>
      <c r="H6" s="7" t="s">
        <v>27</v>
      </c>
      <c r="I6" s="7" t="s">
        <v>27</v>
      </c>
      <c r="J6" s="7" t="s">
        <v>27</v>
      </c>
      <c r="K6" s="7" t="s">
        <v>27</v>
      </c>
    </row>
    <row r="7" spans="1:11" ht="60.75" customHeight="1">
      <c r="A7" s="7" t="s">
        <v>379</v>
      </c>
      <c r="B7" s="60"/>
      <c r="C7" s="8" t="s">
        <v>380</v>
      </c>
      <c r="D7" s="8" t="s">
        <v>381</v>
      </c>
      <c r="E7" s="8" t="s">
        <v>382</v>
      </c>
      <c r="F7" s="8" t="s">
        <v>383</v>
      </c>
      <c r="G7" s="7" t="s">
        <v>27</v>
      </c>
      <c r="H7" s="7" t="s">
        <v>27</v>
      </c>
      <c r="I7" s="7" t="s">
        <v>27</v>
      </c>
      <c r="J7" s="7" t="s">
        <v>27</v>
      </c>
      <c r="K7" s="7" t="s">
        <v>27</v>
      </c>
    </row>
    <row r="8" spans="1:11" ht="45.75" customHeight="1">
      <c r="A8" s="9"/>
      <c r="B8" s="9"/>
      <c r="C8" s="9"/>
      <c r="D8" s="9"/>
      <c r="E8" s="9"/>
      <c r="F8" s="9"/>
      <c r="G8" s="9"/>
      <c r="H8" s="9"/>
    </row>
    <row r="9" spans="1:11" ht="76.5" customHeight="1">
      <c r="A9" s="57" t="s">
        <v>384</v>
      </c>
      <c r="B9" s="60"/>
      <c r="C9" s="60"/>
      <c r="D9" s="60"/>
      <c r="E9" s="60"/>
      <c r="F9" s="53"/>
      <c r="G9" s="61"/>
      <c r="H9" s="60"/>
    </row>
    <row r="10" spans="1:11" ht="91.5" customHeight="1">
      <c r="A10" s="10" t="s">
        <v>358</v>
      </c>
      <c r="B10" s="55" t="s">
        <v>385</v>
      </c>
      <c r="C10" s="11" t="s">
        <v>386</v>
      </c>
      <c r="D10" s="11" t="s">
        <v>387</v>
      </c>
      <c r="E10" s="11" t="s">
        <v>388</v>
      </c>
      <c r="F10" s="11" t="s">
        <v>389</v>
      </c>
      <c r="G10" s="10" t="s">
        <v>27</v>
      </c>
      <c r="H10" s="10" t="s">
        <v>27</v>
      </c>
      <c r="I10" s="10" t="s">
        <v>27</v>
      </c>
      <c r="J10" s="10" t="s">
        <v>27</v>
      </c>
      <c r="K10" s="10" t="s">
        <v>27</v>
      </c>
    </row>
    <row r="11" spans="1:11" ht="91.5" customHeight="1">
      <c r="A11" s="10" t="s">
        <v>364</v>
      </c>
      <c r="B11" s="60"/>
      <c r="C11" s="11" t="s">
        <v>390</v>
      </c>
      <c r="D11" s="11" t="s">
        <v>391</v>
      </c>
      <c r="E11" s="11" t="s">
        <v>392</v>
      </c>
      <c r="F11" s="11" t="s">
        <v>393</v>
      </c>
      <c r="G11" s="10" t="s">
        <v>28</v>
      </c>
      <c r="H11" s="10" t="s">
        <v>27</v>
      </c>
      <c r="I11" s="10" t="s">
        <v>27</v>
      </c>
      <c r="J11" s="10" t="s">
        <v>27</v>
      </c>
      <c r="K11" s="10" t="s">
        <v>27</v>
      </c>
    </row>
    <row r="12" spans="1:11" ht="106.5" customHeight="1">
      <c r="A12" s="10" t="s">
        <v>369</v>
      </c>
      <c r="B12" s="60"/>
      <c r="C12" s="11" t="s">
        <v>394</v>
      </c>
      <c r="D12" s="11" t="s">
        <v>395</v>
      </c>
      <c r="E12" s="11" t="s">
        <v>396</v>
      </c>
      <c r="F12" s="11" t="s">
        <v>397</v>
      </c>
      <c r="G12" s="10" t="s">
        <v>28</v>
      </c>
      <c r="H12" s="10" t="s">
        <v>27</v>
      </c>
      <c r="I12" s="10" t="s">
        <v>27</v>
      </c>
      <c r="J12" s="10" t="s">
        <v>27</v>
      </c>
      <c r="K12" s="10" t="s">
        <v>27</v>
      </c>
    </row>
    <row r="13" spans="1:11" ht="91.5" customHeight="1">
      <c r="A13" s="10" t="s">
        <v>374</v>
      </c>
      <c r="B13" s="60"/>
      <c r="C13" s="11" t="s">
        <v>398</v>
      </c>
      <c r="D13" s="11" t="s">
        <v>399</v>
      </c>
      <c r="E13" s="11" t="s">
        <v>400</v>
      </c>
      <c r="F13" s="11" t="s">
        <v>401</v>
      </c>
      <c r="G13" s="10" t="s">
        <v>28</v>
      </c>
      <c r="H13" s="10" t="s">
        <v>27</v>
      </c>
      <c r="I13" s="10" t="s">
        <v>27</v>
      </c>
      <c r="J13" s="10" t="s">
        <v>27</v>
      </c>
      <c r="K13" s="10" t="s">
        <v>27</v>
      </c>
    </row>
    <row r="14" spans="1:11" ht="91.5" customHeight="1">
      <c r="A14" s="10" t="s">
        <v>379</v>
      </c>
      <c r="B14" s="60"/>
      <c r="C14" s="11" t="s">
        <v>402</v>
      </c>
      <c r="D14" s="11" t="s">
        <v>403</v>
      </c>
      <c r="E14" s="11" t="s">
        <v>404</v>
      </c>
      <c r="F14" s="11" t="s">
        <v>405</v>
      </c>
      <c r="G14" s="10" t="s">
        <v>28</v>
      </c>
      <c r="H14" s="10" t="s">
        <v>27</v>
      </c>
      <c r="I14" s="10" t="s">
        <v>27</v>
      </c>
      <c r="J14" s="10" t="s">
        <v>27</v>
      </c>
      <c r="K14" s="10" t="s">
        <v>27</v>
      </c>
    </row>
    <row r="15" spans="1:11" ht="121.5" customHeight="1">
      <c r="A15" s="10" t="s">
        <v>406</v>
      </c>
      <c r="B15" s="60"/>
      <c r="C15" s="11" t="s">
        <v>407</v>
      </c>
      <c r="D15" s="11" t="s">
        <v>408</v>
      </c>
      <c r="E15" s="11" t="s">
        <v>409</v>
      </c>
      <c r="F15" s="11" t="s">
        <v>410</v>
      </c>
      <c r="G15" s="10" t="s">
        <v>28</v>
      </c>
      <c r="H15" s="10" t="s">
        <v>27</v>
      </c>
      <c r="I15" s="10" t="s">
        <v>28</v>
      </c>
      <c r="J15" s="10" t="s">
        <v>27</v>
      </c>
      <c r="K15" s="10" t="s">
        <v>27</v>
      </c>
    </row>
    <row r="16" spans="1:11" ht="45" customHeight="1">
      <c r="A16" s="10" t="s">
        <v>411</v>
      </c>
      <c r="B16" s="60"/>
      <c r="C16" s="11" t="s">
        <v>412</v>
      </c>
      <c r="D16" s="11" t="s">
        <v>413</v>
      </c>
      <c r="E16" s="11" t="s">
        <v>414</v>
      </c>
      <c r="F16" s="11" t="s">
        <v>415</v>
      </c>
      <c r="G16" s="10" t="s">
        <v>28</v>
      </c>
      <c r="H16" s="10" t="s">
        <v>27</v>
      </c>
      <c r="I16" s="10" t="s">
        <v>27</v>
      </c>
      <c r="J16" s="10" t="s">
        <v>27</v>
      </c>
      <c r="K16" s="10" t="s">
        <v>27</v>
      </c>
    </row>
    <row r="17" spans="1:11" ht="60.75" customHeight="1">
      <c r="A17" s="10" t="s">
        <v>416</v>
      </c>
      <c r="B17" s="60"/>
      <c r="C17" s="11" t="s">
        <v>417</v>
      </c>
      <c r="D17" s="11" t="s">
        <v>418</v>
      </c>
      <c r="E17" s="11" t="s">
        <v>419</v>
      </c>
      <c r="F17" s="11" t="s">
        <v>420</v>
      </c>
      <c r="G17" s="10" t="s">
        <v>28</v>
      </c>
      <c r="H17" s="10" t="s">
        <v>27</v>
      </c>
      <c r="I17" s="10" t="s">
        <v>27</v>
      </c>
      <c r="J17" s="10" t="s">
        <v>27</v>
      </c>
      <c r="K17" s="10" t="s">
        <v>27</v>
      </c>
    </row>
    <row r="18" spans="1:11" ht="106.5" customHeight="1">
      <c r="A18" s="9"/>
      <c r="B18" s="9"/>
      <c r="C18" s="9"/>
      <c r="D18" s="9"/>
      <c r="E18" s="9"/>
      <c r="F18" s="9"/>
      <c r="G18" s="9"/>
      <c r="H18" s="9"/>
    </row>
    <row r="19" spans="1:11" ht="106.5" customHeight="1">
      <c r="A19" s="57" t="s">
        <v>421</v>
      </c>
      <c r="B19" s="60"/>
      <c r="C19" s="60"/>
      <c r="D19" s="60"/>
      <c r="E19" s="60"/>
      <c r="F19" s="53"/>
      <c r="G19" s="61"/>
      <c r="H19" s="60"/>
    </row>
    <row r="20" spans="1:11" ht="106.5" customHeight="1">
      <c r="A20" s="7" t="s">
        <v>358</v>
      </c>
      <c r="B20" s="56" t="s">
        <v>422</v>
      </c>
      <c r="C20" s="8" t="s">
        <v>423</v>
      </c>
      <c r="D20" s="8" t="s">
        <v>424</v>
      </c>
      <c r="E20" s="8" t="s">
        <v>425</v>
      </c>
      <c r="F20" s="8" t="s">
        <v>426</v>
      </c>
      <c r="G20" s="7" t="s">
        <v>27</v>
      </c>
      <c r="H20" s="7" t="s">
        <v>27</v>
      </c>
      <c r="I20" s="7" t="s">
        <v>27</v>
      </c>
      <c r="J20" s="7" t="s">
        <v>27</v>
      </c>
      <c r="K20" s="7" t="s">
        <v>27</v>
      </c>
    </row>
    <row r="21" spans="1:11" ht="106.5" customHeight="1">
      <c r="A21" s="7" t="s">
        <v>364</v>
      </c>
      <c r="B21" s="60"/>
      <c r="C21" s="8" t="s">
        <v>427</v>
      </c>
      <c r="D21" s="8" t="s">
        <v>428</v>
      </c>
      <c r="E21" s="8" t="s">
        <v>429</v>
      </c>
      <c r="F21" s="8" t="s">
        <v>430</v>
      </c>
      <c r="G21" s="7" t="s">
        <v>27</v>
      </c>
      <c r="H21" s="7" t="s">
        <v>27</v>
      </c>
      <c r="I21" s="7" t="s">
        <v>28</v>
      </c>
      <c r="J21" s="7" t="s">
        <v>27</v>
      </c>
      <c r="K21" s="7" t="s">
        <v>27</v>
      </c>
    </row>
    <row r="22" spans="1:11" ht="45" customHeight="1">
      <c r="A22" s="7" t="s">
        <v>369</v>
      </c>
      <c r="B22" s="60"/>
      <c r="C22" s="8" t="s">
        <v>431</v>
      </c>
      <c r="D22" s="8" t="s">
        <v>432</v>
      </c>
      <c r="E22" s="8" t="s">
        <v>433</v>
      </c>
      <c r="F22" s="8" t="s">
        <v>434</v>
      </c>
      <c r="G22" s="7" t="s">
        <v>27</v>
      </c>
      <c r="H22" s="7" t="s">
        <v>27</v>
      </c>
      <c r="I22" s="7" t="s">
        <v>27</v>
      </c>
      <c r="J22" s="7" t="s">
        <v>27</v>
      </c>
      <c r="K22" s="7" t="s">
        <v>27</v>
      </c>
    </row>
    <row r="23" spans="1:11" ht="45.75" customHeight="1">
      <c r="A23" s="7" t="s">
        <v>374</v>
      </c>
      <c r="B23" s="60"/>
      <c r="C23" s="8" t="s">
        <v>435</v>
      </c>
      <c r="D23" s="8" t="s">
        <v>436</v>
      </c>
      <c r="E23" s="8" t="s">
        <v>437</v>
      </c>
      <c r="F23" s="8" t="s">
        <v>438</v>
      </c>
      <c r="G23" s="7" t="s">
        <v>28</v>
      </c>
      <c r="H23" s="7" t="s">
        <v>27</v>
      </c>
      <c r="I23" s="7" t="s">
        <v>28</v>
      </c>
      <c r="J23" s="7" t="s">
        <v>27</v>
      </c>
      <c r="K23" s="7" t="s">
        <v>27</v>
      </c>
    </row>
    <row r="24" spans="1:11" ht="60.75" customHeight="1">
      <c r="A24" s="7" t="s">
        <v>379</v>
      </c>
      <c r="B24" s="60"/>
      <c r="C24" s="8" t="s">
        <v>439</v>
      </c>
      <c r="D24" s="8" t="s">
        <v>440</v>
      </c>
      <c r="E24" s="8" t="s">
        <v>441</v>
      </c>
      <c r="F24" s="8" t="s">
        <v>442</v>
      </c>
      <c r="G24" s="7" t="s">
        <v>28</v>
      </c>
      <c r="H24" s="7" t="s">
        <v>27</v>
      </c>
      <c r="I24" s="7" t="s">
        <v>27</v>
      </c>
      <c r="J24" s="7" t="s">
        <v>27</v>
      </c>
      <c r="K24" s="7" t="s">
        <v>27</v>
      </c>
    </row>
    <row r="25" spans="1:11" ht="60.75" customHeight="1">
      <c r="A25" s="7" t="s">
        <v>406</v>
      </c>
      <c r="B25" s="60"/>
      <c r="C25" s="8" t="s">
        <v>443</v>
      </c>
      <c r="D25" s="8" t="s">
        <v>444</v>
      </c>
      <c r="E25" s="8" t="s">
        <v>445</v>
      </c>
      <c r="F25" s="8" t="s">
        <v>446</v>
      </c>
      <c r="G25" s="7" t="s">
        <v>28</v>
      </c>
      <c r="H25" s="7" t="s">
        <v>27</v>
      </c>
      <c r="I25" s="7" t="s">
        <v>27</v>
      </c>
      <c r="J25" s="7" t="s">
        <v>27</v>
      </c>
      <c r="K25" s="7" t="s">
        <v>27</v>
      </c>
    </row>
    <row r="26" spans="1:11" ht="75" customHeight="1">
      <c r="A26" s="7" t="s">
        <v>411</v>
      </c>
      <c r="B26" s="60"/>
      <c r="C26" s="8" t="s">
        <v>447</v>
      </c>
      <c r="D26" s="8" t="s">
        <v>448</v>
      </c>
      <c r="E26" s="8" t="s">
        <v>449</v>
      </c>
      <c r="F26" s="8" t="s">
        <v>450</v>
      </c>
      <c r="G26" s="7" t="s">
        <v>27</v>
      </c>
      <c r="H26" s="7" t="s">
        <v>27</v>
      </c>
      <c r="I26" s="7" t="s">
        <v>27</v>
      </c>
      <c r="J26" s="7" t="s">
        <v>27</v>
      </c>
      <c r="K26" s="7" t="s">
        <v>27</v>
      </c>
    </row>
    <row r="27" spans="1:11" ht="76.5" customHeight="1">
      <c r="A27" s="7" t="s">
        <v>416</v>
      </c>
      <c r="B27" s="60"/>
      <c r="C27" s="8" t="s">
        <v>451</v>
      </c>
      <c r="D27" s="8" t="s">
        <v>452</v>
      </c>
      <c r="E27" s="8" t="s">
        <v>453</v>
      </c>
      <c r="F27" s="8" t="s">
        <v>454</v>
      </c>
      <c r="G27" s="7" t="s">
        <v>28</v>
      </c>
      <c r="H27" s="7" t="s">
        <v>27</v>
      </c>
      <c r="I27" s="7" t="s">
        <v>28</v>
      </c>
      <c r="J27" s="7" t="s">
        <v>27</v>
      </c>
      <c r="K27" s="7" t="s">
        <v>27</v>
      </c>
    </row>
    <row r="28" spans="1:11" ht="106.5" customHeight="1">
      <c r="A28" s="7" t="s">
        <v>455</v>
      </c>
      <c r="B28" s="60"/>
      <c r="C28" s="8" t="s">
        <v>456</v>
      </c>
      <c r="D28" s="8" t="s">
        <v>457</v>
      </c>
      <c r="E28" s="8" t="s">
        <v>458</v>
      </c>
      <c r="F28" s="8" t="s">
        <v>459</v>
      </c>
      <c r="G28" s="7" t="s">
        <v>28</v>
      </c>
      <c r="H28" s="7" t="s">
        <v>27</v>
      </c>
      <c r="I28" s="7" t="s">
        <v>27</v>
      </c>
      <c r="J28" s="7" t="s">
        <v>27</v>
      </c>
      <c r="K28" s="7" t="s">
        <v>27</v>
      </c>
    </row>
    <row r="29" spans="1:11" ht="45.75" customHeight="1">
      <c r="A29" s="7" t="s">
        <v>460</v>
      </c>
      <c r="B29" s="60"/>
      <c r="C29" s="8" t="s">
        <v>461</v>
      </c>
      <c r="D29" s="8" t="s">
        <v>462</v>
      </c>
      <c r="E29" s="8" t="s">
        <v>463</v>
      </c>
      <c r="F29" s="8" t="s">
        <v>464</v>
      </c>
      <c r="G29" s="7" t="s">
        <v>28</v>
      </c>
      <c r="H29" s="7" t="s">
        <v>27</v>
      </c>
      <c r="I29" s="7" t="s">
        <v>28</v>
      </c>
      <c r="J29" s="7" t="s">
        <v>27</v>
      </c>
      <c r="K29" s="7" t="s">
        <v>28</v>
      </c>
    </row>
    <row r="30" spans="1:11" ht="91.5" customHeight="1">
      <c r="A30" s="7" t="s">
        <v>465</v>
      </c>
      <c r="B30" s="60"/>
      <c r="C30" s="8" t="s">
        <v>466</v>
      </c>
      <c r="D30" s="8" t="s">
        <v>467</v>
      </c>
      <c r="E30" s="8" t="s">
        <v>468</v>
      </c>
      <c r="F30" s="8" t="s">
        <v>469</v>
      </c>
      <c r="G30" s="7" t="s">
        <v>27</v>
      </c>
      <c r="H30" s="7" t="s">
        <v>27</v>
      </c>
      <c r="I30" s="7" t="s">
        <v>28</v>
      </c>
      <c r="J30" s="7" t="s">
        <v>27</v>
      </c>
      <c r="K30" s="7" t="s">
        <v>28</v>
      </c>
    </row>
    <row r="31" spans="1:11" ht="121.5" customHeight="1">
      <c r="A31" s="7" t="s">
        <v>470</v>
      </c>
      <c r="B31" s="60"/>
      <c r="C31" s="8" t="s">
        <v>471</v>
      </c>
      <c r="D31" s="8" t="s">
        <v>472</v>
      </c>
      <c r="E31" s="8" t="s">
        <v>473</v>
      </c>
      <c r="F31" s="8" t="s">
        <v>474</v>
      </c>
      <c r="G31" s="7" t="s">
        <v>28</v>
      </c>
      <c r="H31" s="7" t="s">
        <v>27</v>
      </c>
      <c r="I31" s="7" t="s">
        <v>27</v>
      </c>
      <c r="J31" s="7" t="s">
        <v>27</v>
      </c>
      <c r="K31" s="7" t="s">
        <v>27</v>
      </c>
    </row>
    <row r="32" spans="1:11" ht="91.5" customHeight="1">
      <c r="A32" s="7" t="s">
        <v>475</v>
      </c>
      <c r="B32" s="60"/>
      <c r="C32" s="8" t="s">
        <v>476</v>
      </c>
      <c r="D32" s="8" t="s">
        <v>477</v>
      </c>
      <c r="E32" s="8" t="s">
        <v>478</v>
      </c>
      <c r="F32" s="8" t="s">
        <v>479</v>
      </c>
      <c r="G32" s="7" t="s">
        <v>28</v>
      </c>
      <c r="H32" s="7" t="s">
        <v>27</v>
      </c>
      <c r="I32" s="7" t="s">
        <v>27</v>
      </c>
      <c r="J32" s="7" t="s">
        <v>27</v>
      </c>
      <c r="K32" s="7" t="s">
        <v>27</v>
      </c>
    </row>
    <row r="33" spans="1:11" ht="91.5" customHeight="1">
      <c r="A33" s="7" t="s">
        <v>480</v>
      </c>
      <c r="B33" s="60"/>
      <c r="C33" s="8" t="s">
        <v>481</v>
      </c>
      <c r="D33" s="8" t="s">
        <v>482</v>
      </c>
      <c r="E33" s="8" t="s">
        <v>483</v>
      </c>
      <c r="F33" s="8" t="s">
        <v>484</v>
      </c>
      <c r="G33" s="7" t="s">
        <v>28</v>
      </c>
      <c r="H33" s="7" t="s">
        <v>27</v>
      </c>
      <c r="I33" s="7" t="s">
        <v>27</v>
      </c>
      <c r="J33" s="7" t="s">
        <v>27</v>
      </c>
      <c r="K33" s="7" t="s">
        <v>27</v>
      </c>
    </row>
    <row r="34" spans="1:11" ht="30" customHeight="1">
      <c r="A34" s="7" t="s">
        <v>485</v>
      </c>
      <c r="B34" s="60"/>
      <c r="C34" s="8" t="s">
        <v>486</v>
      </c>
      <c r="D34" s="8" t="s">
        <v>487</v>
      </c>
      <c r="E34" s="8" t="s">
        <v>488</v>
      </c>
      <c r="F34" s="8" t="s">
        <v>489</v>
      </c>
      <c r="G34" s="7" t="s">
        <v>28</v>
      </c>
      <c r="H34" s="7" t="s">
        <v>28</v>
      </c>
      <c r="I34" s="7" t="s">
        <v>28</v>
      </c>
      <c r="J34" s="7" t="s">
        <v>27</v>
      </c>
      <c r="K34" s="7" t="s">
        <v>27</v>
      </c>
    </row>
    <row r="35" spans="1:11" ht="76.5" customHeight="1">
      <c r="A35" s="7" t="s">
        <v>490</v>
      </c>
      <c r="B35" s="60"/>
      <c r="C35" s="8" t="s">
        <v>491</v>
      </c>
      <c r="D35" s="8" t="s">
        <v>492</v>
      </c>
      <c r="E35" s="8" t="s">
        <v>493</v>
      </c>
      <c r="F35" s="8" t="s">
        <v>494</v>
      </c>
      <c r="G35" s="7" t="s">
        <v>27</v>
      </c>
      <c r="H35" s="7" t="s">
        <v>27</v>
      </c>
      <c r="I35" s="7" t="s">
        <v>27</v>
      </c>
      <c r="J35" s="7" t="s">
        <v>27</v>
      </c>
      <c r="K35" s="7" t="s">
        <v>27</v>
      </c>
    </row>
    <row r="36" spans="1:11" ht="76.5" customHeight="1">
      <c r="A36" s="7" t="s">
        <v>495</v>
      </c>
      <c r="B36" s="60"/>
      <c r="C36" s="8" t="s">
        <v>496</v>
      </c>
      <c r="D36" s="8" t="s">
        <v>487</v>
      </c>
      <c r="E36" s="8" t="s">
        <v>497</v>
      </c>
      <c r="F36" s="8" t="s">
        <v>489</v>
      </c>
      <c r="G36" s="7" t="s">
        <v>27</v>
      </c>
      <c r="H36" s="7" t="s">
        <v>27</v>
      </c>
      <c r="I36" s="7" t="s">
        <v>27</v>
      </c>
      <c r="J36" s="7" t="s">
        <v>27</v>
      </c>
      <c r="K36" s="7" t="s">
        <v>27</v>
      </c>
    </row>
    <row r="37" spans="1:11" ht="91.5" customHeight="1">
      <c r="A37" s="7" t="s">
        <v>498</v>
      </c>
      <c r="B37" s="60"/>
      <c r="C37" s="8" t="s">
        <v>499</v>
      </c>
      <c r="D37" s="8" t="s">
        <v>500</v>
      </c>
      <c r="E37" s="8" t="s">
        <v>501</v>
      </c>
      <c r="F37" s="8" t="s">
        <v>502</v>
      </c>
      <c r="G37" s="7" t="s">
        <v>28</v>
      </c>
      <c r="H37" s="7" t="s">
        <v>27</v>
      </c>
      <c r="I37" s="7" t="s">
        <v>27</v>
      </c>
      <c r="J37" s="7" t="s">
        <v>27</v>
      </c>
      <c r="K37" s="7" t="s">
        <v>27</v>
      </c>
    </row>
    <row r="38" spans="1:11">
      <c r="A38" s="9"/>
      <c r="B38" s="9"/>
      <c r="C38" s="9"/>
      <c r="D38" s="9"/>
      <c r="E38" s="9"/>
      <c r="F38" s="9"/>
      <c r="G38" s="9"/>
      <c r="H38" s="9"/>
    </row>
    <row r="39" spans="1:11">
      <c r="A39" s="57" t="s">
        <v>503</v>
      </c>
      <c r="B39" s="60"/>
      <c r="C39" s="60"/>
      <c r="D39" s="60"/>
      <c r="E39" s="60"/>
      <c r="F39" s="53"/>
      <c r="G39" s="61"/>
      <c r="H39" s="60"/>
    </row>
    <row r="40" spans="1:11" ht="45" customHeight="1">
      <c r="A40" s="10" t="s">
        <v>504</v>
      </c>
      <c r="B40" s="55" t="s">
        <v>505</v>
      </c>
      <c r="C40" s="11" t="s">
        <v>506</v>
      </c>
      <c r="D40" s="11" t="s">
        <v>507</v>
      </c>
      <c r="E40" s="11" t="s">
        <v>508</v>
      </c>
      <c r="F40" s="11" t="s">
        <v>509</v>
      </c>
      <c r="G40" s="10" t="s">
        <v>27</v>
      </c>
      <c r="H40" s="10" t="s">
        <v>27</v>
      </c>
      <c r="I40" s="10" t="s">
        <v>27</v>
      </c>
      <c r="J40" s="10" t="s">
        <v>27</v>
      </c>
      <c r="K40" s="10" t="s">
        <v>27</v>
      </c>
    </row>
    <row r="41" spans="1:11" ht="90" customHeight="1">
      <c r="A41" s="10" t="s">
        <v>510</v>
      </c>
      <c r="B41" s="60"/>
      <c r="C41" s="11" t="s">
        <v>511</v>
      </c>
      <c r="D41" s="11" t="s">
        <v>512</v>
      </c>
      <c r="E41" s="11" t="s">
        <v>513</v>
      </c>
      <c r="F41" s="11" t="s">
        <v>514</v>
      </c>
      <c r="G41" s="10" t="s">
        <v>27</v>
      </c>
      <c r="H41" s="10" t="s">
        <v>27</v>
      </c>
      <c r="I41" s="10" t="s">
        <v>27</v>
      </c>
      <c r="J41" s="10" t="s">
        <v>27</v>
      </c>
      <c r="K41" s="10" t="s">
        <v>27</v>
      </c>
    </row>
    <row r="42" spans="1:11" ht="45" customHeight="1">
      <c r="A42" s="10" t="s">
        <v>515</v>
      </c>
      <c r="B42" s="60"/>
      <c r="C42" s="11" t="s">
        <v>516</v>
      </c>
      <c r="D42" s="11" t="s">
        <v>517</v>
      </c>
      <c r="E42" s="11" t="s">
        <v>518</v>
      </c>
      <c r="F42" s="11" t="s">
        <v>519</v>
      </c>
      <c r="G42" s="10" t="s">
        <v>27</v>
      </c>
      <c r="H42" s="10" t="s">
        <v>27</v>
      </c>
      <c r="I42" s="10" t="s">
        <v>27</v>
      </c>
      <c r="J42" s="10" t="s">
        <v>27</v>
      </c>
      <c r="K42" s="10" t="s">
        <v>27</v>
      </c>
    </row>
    <row r="43" spans="1:11" ht="45" customHeight="1">
      <c r="A43" s="10" t="s">
        <v>520</v>
      </c>
      <c r="B43" s="60"/>
      <c r="C43" s="11" t="s">
        <v>521</v>
      </c>
      <c r="D43" s="11" t="s">
        <v>522</v>
      </c>
      <c r="E43" s="11" t="s">
        <v>523</v>
      </c>
      <c r="F43" s="11" t="s">
        <v>524</v>
      </c>
      <c r="G43" s="10" t="s">
        <v>27</v>
      </c>
      <c r="H43" s="10" t="s">
        <v>27</v>
      </c>
      <c r="I43" s="10" t="s">
        <v>27</v>
      </c>
      <c r="J43" s="10" t="s">
        <v>27</v>
      </c>
      <c r="K43" s="10" t="s">
        <v>27</v>
      </c>
    </row>
    <row r="44" spans="1:11">
      <c r="A44" s="9"/>
      <c r="B44" s="9"/>
      <c r="C44" s="9"/>
      <c r="D44" s="9"/>
      <c r="E44" s="9"/>
      <c r="F44" s="9"/>
      <c r="G44" s="9"/>
      <c r="H44" s="9"/>
    </row>
    <row r="45" spans="1:11">
      <c r="A45" s="57" t="s">
        <v>525</v>
      </c>
      <c r="B45" s="60"/>
      <c r="C45" s="60"/>
      <c r="D45" s="60"/>
      <c r="E45" s="60"/>
      <c r="F45" s="53"/>
      <c r="G45" s="61"/>
      <c r="H45" s="60"/>
    </row>
    <row r="46" spans="1:11" ht="60" customHeight="1">
      <c r="A46" s="7" t="s">
        <v>358</v>
      </c>
      <c r="B46" s="56" t="s">
        <v>526</v>
      </c>
      <c r="C46" s="8" t="s">
        <v>527</v>
      </c>
      <c r="D46" s="8" t="s">
        <v>528</v>
      </c>
      <c r="E46" s="8" t="s">
        <v>529</v>
      </c>
      <c r="F46" s="8" t="s">
        <v>530</v>
      </c>
      <c r="G46" s="7" t="s">
        <v>27</v>
      </c>
      <c r="H46" s="7" t="s">
        <v>27</v>
      </c>
      <c r="I46" s="7" t="s">
        <v>27</v>
      </c>
      <c r="J46" s="7" t="s">
        <v>27</v>
      </c>
      <c r="K46" s="7" t="s">
        <v>27</v>
      </c>
    </row>
    <row r="47" spans="1:11" ht="105" customHeight="1">
      <c r="A47" s="7" t="s">
        <v>364</v>
      </c>
      <c r="B47" s="60"/>
      <c r="C47" s="8" t="s">
        <v>531</v>
      </c>
      <c r="D47" s="8" t="s">
        <v>532</v>
      </c>
      <c r="E47" s="8" t="s">
        <v>533</v>
      </c>
      <c r="F47" s="8" t="s">
        <v>534</v>
      </c>
      <c r="G47" s="7" t="s">
        <v>27</v>
      </c>
      <c r="H47" s="7" t="s">
        <v>27</v>
      </c>
      <c r="I47" s="7" t="s">
        <v>27</v>
      </c>
      <c r="J47" s="7" t="s">
        <v>27</v>
      </c>
      <c r="K47" s="7" t="s">
        <v>27</v>
      </c>
    </row>
    <row r="48" spans="1:11" ht="60" customHeight="1">
      <c r="A48" s="7" t="s">
        <v>369</v>
      </c>
      <c r="B48" s="60"/>
      <c r="C48" s="8" t="s">
        <v>535</v>
      </c>
      <c r="D48" s="8" t="s">
        <v>536</v>
      </c>
      <c r="E48" s="8" t="s">
        <v>537</v>
      </c>
      <c r="F48" s="8" t="s">
        <v>538</v>
      </c>
      <c r="G48" s="7" t="s">
        <v>27</v>
      </c>
      <c r="H48" s="7" t="s">
        <v>27</v>
      </c>
      <c r="I48" s="7" t="s">
        <v>27</v>
      </c>
      <c r="J48" s="7" t="s">
        <v>27</v>
      </c>
      <c r="K48" s="7" t="s">
        <v>27</v>
      </c>
    </row>
    <row r="49" spans="1:11" ht="120" customHeight="1">
      <c r="A49" s="7" t="s">
        <v>374</v>
      </c>
      <c r="B49" s="60"/>
      <c r="C49" s="8" t="s">
        <v>539</v>
      </c>
      <c r="D49" s="8" t="s">
        <v>540</v>
      </c>
      <c r="E49" s="8" t="s">
        <v>541</v>
      </c>
      <c r="F49" s="8" t="s">
        <v>542</v>
      </c>
      <c r="G49" s="7" t="s">
        <v>27</v>
      </c>
      <c r="H49" s="7" t="s">
        <v>27</v>
      </c>
      <c r="I49" s="7" t="s">
        <v>27</v>
      </c>
      <c r="J49" s="7" t="s">
        <v>27</v>
      </c>
      <c r="K49" s="7" t="s">
        <v>27</v>
      </c>
    </row>
    <row r="50" spans="1:11" ht="30" customHeight="1">
      <c r="A50" s="7" t="s">
        <v>379</v>
      </c>
      <c r="B50" s="60"/>
      <c r="C50" s="8" t="s">
        <v>543</v>
      </c>
      <c r="D50" s="8" t="s">
        <v>544</v>
      </c>
      <c r="E50" s="8" t="s">
        <v>545</v>
      </c>
      <c r="F50" s="8" t="s">
        <v>546</v>
      </c>
      <c r="G50" s="7" t="s">
        <v>28</v>
      </c>
      <c r="H50" s="7" t="s">
        <v>28</v>
      </c>
      <c r="I50" s="7" t="s">
        <v>28</v>
      </c>
      <c r="J50" s="7" t="s">
        <v>28</v>
      </c>
      <c r="K50" s="7" t="s">
        <v>28</v>
      </c>
    </row>
    <row r="51" spans="1:11" ht="30" customHeight="1">
      <c r="A51" s="7" t="s">
        <v>406</v>
      </c>
      <c r="B51" s="60"/>
      <c r="C51" s="8" t="s">
        <v>547</v>
      </c>
      <c r="D51" s="8" t="s">
        <v>548</v>
      </c>
      <c r="E51" s="8" t="s">
        <v>549</v>
      </c>
      <c r="F51" s="8" t="s">
        <v>550</v>
      </c>
      <c r="G51" s="7" t="s">
        <v>28</v>
      </c>
      <c r="H51" s="7" t="s">
        <v>28</v>
      </c>
      <c r="I51" s="7" t="s">
        <v>28</v>
      </c>
      <c r="J51" s="7" t="s">
        <v>28</v>
      </c>
      <c r="K51" s="7" t="s">
        <v>28</v>
      </c>
    </row>
    <row r="52" spans="1:11" ht="30">
      <c r="A52" s="7" t="s">
        <v>411</v>
      </c>
      <c r="B52" s="60"/>
      <c r="C52" s="8" t="s">
        <v>551</v>
      </c>
      <c r="D52" s="8" t="s">
        <v>552</v>
      </c>
      <c r="E52" s="8" t="s">
        <v>553</v>
      </c>
      <c r="F52" s="8" t="s">
        <v>554</v>
      </c>
      <c r="G52" s="7" t="s">
        <v>28</v>
      </c>
      <c r="H52" s="7" t="s">
        <v>28</v>
      </c>
      <c r="I52" s="7" t="s">
        <v>28</v>
      </c>
      <c r="J52" s="7" t="s">
        <v>28</v>
      </c>
      <c r="K52" s="7" t="s">
        <v>28</v>
      </c>
    </row>
    <row r="53" spans="1:11" ht="75" customHeight="1">
      <c r="A53" s="7" t="s">
        <v>416</v>
      </c>
      <c r="B53" s="60"/>
      <c r="C53" s="8" t="s">
        <v>555</v>
      </c>
      <c r="D53" s="8" t="s">
        <v>556</v>
      </c>
      <c r="E53" s="8" t="s">
        <v>557</v>
      </c>
      <c r="F53" s="8" t="s">
        <v>558</v>
      </c>
      <c r="G53" s="7" t="s">
        <v>27</v>
      </c>
      <c r="H53" s="7" t="s">
        <v>27</v>
      </c>
      <c r="I53" s="7" t="s">
        <v>27</v>
      </c>
      <c r="J53" s="7" t="s">
        <v>27</v>
      </c>
      <c r="K53" s="7" t="s">
        <v>27</v>
      </c>
    </row>
    <row r="55" spans="1:11">
      <c r="A55" s="57" t="s">
        <v>559</v>
      </c>
      <c r="B55" s="60"/>
      <c r="C55" s="60"/>
      <c r="D55" s="60"/>
      <c r="E55" s="60"/>
      <c r="F55" s="53"/>
      <c r="G55" s="61"/>
      <c r="H55" s="60"/>
    </row>
    <row r="56" spans="1:11" ht="60" customHeight="1">
      <c r="A56" s="7" t="s">
        <v>358</v>
      </c>
      <c r="B56" s="38" t="s">
        <v>560</v>
      </c>
      <c r="C56" s="8" t="s">
        <v>561</v>
      </c>
      <c r="D56" s="8" t="s">
        <v>562</v>
      </c>
      <c r="E56" s="8" t="s">
        <v>463</v>
      </c>
      <c r="F56" s="8" t="s">
        <v>563</v>
      </c>
      <c r="G56" s="7" t="s">
        <v>27</v>
      </c>
      <c r="H56" s="7" t="s">
        <v>27</v>
      </c>
      <c r="I56" s="7" t="s">
        <v>28</v>
      </c>
      <c r="J56" s="7" t="s">
        <v>27</v>
      </c>
      <c r="K56" s="7" t="s">
        <v>28</v>
      </c>
    </row>
    <row r="57" spans="1:11" ht="60" customHeight="1">
      <c r="A57" s="7" t="s">
        <v>364</v>
      </c>
      <c r="B57" s="60"/>
      <c r="C57" s="8" t="s">
        <v>564</v>
      </c>
      <c r="D57" s="8" t="s">
        <v>565</v>
      </c>
      <c r="E57" s="8" t="s">
        <v>566</v>
      </c>
      <c r="F57" s="8" t="s">
        <v>567</v>
      </c>
      <c r="G57" s="7" t="s">
        <v>27</v>
      </c>
      <c r="H57" s="7" t="s">
        <v>27</v>
      </c>
      <c r="I57" s="7" t="s">
        <v>27</v>
      </c>
      <c r="J57" s="7" t="s">
        <v>27</v>
      </c>
      <c r="K57" s="7" t="s">
        <v>27</v>
      </c>
    </row>
    <row r="58" spans="1:11" ht="60" customHeight="1">
      <c r="A58" s="7" t="s">
        <v>369</v>
      </c>
      <c r="B58" s="60"/>
      <c r="C58" s="8" t="s">
        <v>568</v>
      </c>
      <c r="D58" s="8" t="s">
        <v>569</v>
      </c>
      <c r="E58" s="8" t="s">
        <v>570</v>
      </c>
      <c r="F58" s="8" t="s">
        <v>571</v>
      </c>
      <c r="G58" s="7" t="s">
        <v>27</v>
      </c>
      <c r="H58" s="7" t="s">
        <v>27</v>
      </c>
      <c r="I58" s="7" t="s">
        <v>27</v>
      </c>
      <c r="J58" s="7" t="s">
        <v>27</v>
      </c>
      <c r="K58" s="7" t="s">
        <v>27</v>
      </c>
    </row>
    <row r="59" spans="1:11" ht="45" customHeight="1">
      <c r="A59" s="7" t="s">
        <v>374</v>
      </c>
      <c r="B59" s="60"/>
      <c r="C59" s="8" t="s">
        <v>572</v>
      </c>
      <c r="D59" s="8" t="s">
        <v>573</v>
      </c>
      <c r="E59" s="8" t="s">
        <v>574</v>
      </c>
      <c r="F59" s="8" t="s">
        <v>575</v>
      </c>
      <c r="G59" s="7" t="s">
        <v>27</v>
      </c>
      <c r="H59" s="7" t="s">
        <v>27</v>
      </c>
      <c r="I59" s="7" t="s">
        <v>28</v>
      </c>
      <c r="J59" s="7" t="s">
        <v>27</v>
      </c>
      <c r="K59" s="7" t="s">
        <v>28</v>
      </c>
    </row>
    <row r="60" spans="1:11" ht="45" customHeight="1">
      <c r="A60" s="7" t="s">
        <v>379</v>
      </c>
      <c r="B60" s="60"/>
      <c r="C60" s="8" t="s">
        <v>576</v>
      </c>
      <c r="D60" s="8" t="s">
        <v>577</v>
      </c>
      <c r="E60" s="8" t="s">
        <v>578</v>
      </c>
      <c r="F60" s="8" t="s">
        <v>579</v>
      </c>
      <c r="G60" s="7" t="s">
        <v>28</v>
      </c>
      <c r="H60" s="7" t="s">
        <v>28</v>
      </c>
      <c r="I60" s="7" t="s">
        <v>28</v>
      </c>
      <c r="J60" s="7" t="s">
        <v>27</v>
      </c>
      <c r="K60" s="7" t="s">
        <v>27</v>
      </c>
    </row>
  </sheetData>
  <mergeCells count="12">
    <mergeCell ref="A55:H55"/>
    <mergeCell ref="B56:B60"/>
    <mergeCell ref="A2:H2"/>
    <mergeCell ref="A19:H19"/>
    <mergeCell ref="B3:B7"/>
    <mergeCell ref="B20:B37"/>
    <mergeCell ref="B46:B53"/>
    <mergeCell ref="A45:H45"/>
    <mergeCell ref="B10:B17"/>
    <mergeCell ref="A9:H9"/>
    <mergeCell ref="A39:H39"/>
    <mergeCell ref="B40:B43"/>
  </mergeCells>
  <conditionalFormatting sqref="G3:K7">
    <cfRule type="cellIs" dxfId="13" priority="3" operator="equal">
      <formula>"Si"</formula>
    </cfRule>
    <cfRule type="cellIs" dxfId="12" priority="4" operator="equal">
      <formula>"No"</formula>
    </cfRule>
  </conditionalFormatting>
  <conditionalFormatting sqref="G10:K17">
    <cfRule type="cellIs" dxfId="11" priority="17" operator="equal">
      <formula>"Si"</formula>
    </cfRule>
    <cfRule type="cellIs" dxfId="10" priority="18" operator="equal">
      <formula>"No"</formula>
    </cfRule>
  </conditionalFormatting>
  <conditionalFormatting sqref="G20:K37">
    <cfRule type="cellIs" dxfId="9" priority="1" operator="equal">
      <formula>"Si"</formula>
    </cfRule>
    <cfRule type="cellIs" dxfId="8" priority="2" operator="equal">
      <formula>"No"</formula>
    </cfRule>
  </conditionalFormatting>
  <conditionalFormatting sqref="G40:K43">
    <cfRule type="cellIs" dxfId="7" priority="9" operator="equal">
      <formula>"Si"</formula>
    </cfRule>
    <cfRule type="cellIs" dxfId="6" priority="10" operator="equal">
      <formula>"No"</formula>
    </cfRule>
  </conditionalFormatting>
  <conditionalFormatting sqref="G46:K52">
    <cfRule type="cellIs" dxfId="5" priority="5" operator="equal">
      <formula>"Si"</formula>
    </cfRule>
    <cfRule type="cellIs" dxfId="4" priority="6" operator="equal">
      <formula>"No"</formula>
    </cfRule>
  </conditionalFormatting>
  <dataValidations count="1">
    <dataValidation type="list" allowBlank="1" showInputMessage="1" showErrorMessage="1" sqref="G3:H7 G9:H38" xr:uid="{00000000-0002-0000-0500-000000000000}">
      <formula1>"Si,No"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H3"/>
  <sheetViews>
    <sheetView workbookViewId="0">
      <pane ySplit="1" topLeftCell="A2" activePane="bottomLeft" state="frozen"/>
      <selection pane="bottomLeft" activeCell="E8" sqref="E8"/>
    </sheetView>
  </sheetViews>
  <sheetFormatPr baseColWidth="10" defaultColWidth="9" defaultRowHeight="15"/>
  <cols>
    <col min="2" max="2" width="30.7109375" customWidth="1"/>
    <col min="3" max="3" width="68.5703125" customWidth="1"/>
    <col min="4" max="4" width="42" customWidth="1"/>
    <col min="5" max="5" width="50.5703125" customWidth="1"/>
    <col min="6" max="6" width="37.42578125" customWidth="1"/>
    <col min="7" max="7" width="18.28515625" customWidth="1"/>
    <col min="8" max="8" width="18.85546875" customWidth="1"/>
  </cols>
  <sheetData>
    <row r="1" spans="1:8" s="3" customFormat="1">
      <c r="A1" s="1" t="s">
        <v>12</v>
      </c>
      <c r="B1" s="1" t="s">
        <v>13</v>
      </c>
      <c r="C1" s="1" t="s">
        <v>14</v>
      </c>
      <c r="D1" s="1" t="s">
        <v>15</v>
      </c>
      <c r="E1" s="1" t="s">
        <v>16</v>
      </c>
      <c r="F1" s="1" t="s">
        <v>17</v>
      </c>
      <c r="G1" s="1" t="s">
        <v>18</v>
      </c>
      <c r="H1" s="1" t="s">
        <v>19</v>
      </c>
    </row>
    <row r="2" spans="1:8">
      <c r="A2" s="57" t="s">
        <v>215</v>
      </c>
      <c r="B2" s="38"/>
      <c r="C2" s="38"/>
      <c r="D2" s="38"/>
      <c r="E2" s="38"/>
      <c r="F2" s="38"/>
      <c r="G2" s="38"/>
      <c r="H2" s="38"/>
    </row>
    <row r="3" spans="1:8" ht="30">
      <c r="A3" t="s">
        <v>161</v>
      </c>
      <c r="B3" t="s">
        <v>614</v>
      </c>
      <c r="C3" t="s">
        <v>615</v>
      </c>
      <c r="D3" t="s">
        <v>616</v>
      </c>
      <c r="E3" s="62" t="s">
        <v>617</v>
      </c>
      <c r="F3" t="s">
        <v>618</v>
      </c>
      <c r="G3" t="s">
        <v>28</v>
      </c>
      <c r="H3" t="s">
        <v>27</v>
      </c>
    </row>
  </sheetData>
  <mergeCells count="1">
    <mergeCell ref="A2:H2"/>
  </mergeCells>
  <conditionalFormatting sqref="G1:H1">
    <cfRule type="cellIs" dxfId="3" priority="1" operator="equal">
      <formula>"No"</formula>
    </cfRule>
    <cfRule type="cellIs" dxfId="2" priority="2" operator="equal">
      <formula>"Si"</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
  <sheetViews>
    <sheetView topLeftCell="C1" workbookViewId="0">
      <selection activeCell="G4" sqref="G4"/>
    </sheetView>
  </sheetViews>
  <sheetFormatPr baseColWidth="10" defaultColWidth="9" defaultRowHeight="15"/>
  <cols>
    <col min="2" max="2" width="30.7109375" customWidth="1"/>
    <col min="3" max="3" width="68.5703125" customWidth="1"/>
    <col min="4" max="4" width="42" customWidth="1"/>
    <col min="5" max="5" width="50.5703125" customWidth="1"/>
    <col min="6" max="6" width="37.42578125" customWidth="1"/>
    <col min="7" max="7" width="18.28515625" customWidth="1"/>
    <col min="8" max="8" width="20.42578125" customWidth="1"/>
  </cols>
  <sheetData>
    <row r="1" spans="1:8">
      <c r="A1" s="1" t="s">
        <v>12</v>
      </c>
      <c r="B1" s="1" t="s">
        <v>13</v>
      </c>
      <c r="C1" s="1" t="s">
        <v>14</v>
      </c>
      <c r="D1" s="1" t="s">
        <v>15</v>
      </c>
      <c r="E1" s="1" t="s">
        <v>16</v>
      </c>
      <c r="F1" s="1" t="s">
        <v>17</v>
      </c>
      <c r="G1" s="1" t="s">
        <v>18</v>
      </c>
      <c r="H1" s="1" t="s">
        <v>19</v>
      </c>
    </row>
    <row r="2" spans="1:8">
      <c r="A2" s="57" t="s">
        <v>215</v>
      </c>
      <c r="B2" s="38"/>
      <c r="C2" s="38"/>
      <c r="D2" s="38"/>
      <c r="E2" s="38"/>
      <c r="F2" s="38"/>
      <c r="G2" s="38"/>
      <c r="H2" s="38"/>
    </row>
  </sheetData>
  <mergeCells count="1">
    <mergeCell ref="A2:H2"/>
  </mergeCells>
  <conditionalFormatting sqref="G1:H1">
    <cfRule type="cellIs" dxfId="1" priority="1" operator="equal">
      <formula>"No"</formula>
    </cfRule>
    <cfRule type="cellIs" dxfId="0" priority="2" operator="equal">
      <formula>"Si"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Metricas de Casos de Prueba</vt:lpstr>
      <vt:lpstr>Flujo de Compra</vt:lpstr>
      <vt:lpstr>Gestión de Usuario</vt:lpstr>
      <vt:lpstr>Perfil</vt:lpstr>
      <vt:lpstr>Credenciales</vt:lpstr>
      <vt:lpstr>Videollamadas</vt:lpstr>
      <vt:lpstr>Reintegros</vt:lpstr>
      <vt:lpstr>Misceláneas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2026-05-13T15:09:00Z</dcterms:created>
  <dcterms:modified xsi:type="dcterms:W3CDTF">2026-08-29T17:46:44Z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0x0101009F842B2145328244B4B47741AC555AE2</vt:lpwstr>
  </property>
  <property fmtid="{D5CDD505-2E9C-101B-9397-08002B2CF9AE}" pid="3" name="MediaServiceImageTags">
    <vt:lpwstr/>
  </property>
  <property fmtid="{D5CDD505-2E9C-101B-9397-08002B2CF9AE}" pid="4" name="ICV">
    <vt:lpwstr>738C8C6C2BD54F0F9CB666CF7EFD229C_12</vt:lpwstr>
  </property>
  <property fmtid="{D5CDD505-2E9C-101B-9397-08002B2CF9AE}" pid="5" name="KSOProductBuildVer">
    <vt:lpwstr>2058-12.1.0.28032</vt:lpwstr>
  </property>
  <property fmtid="{D5CDD505-2E9C-101B-9397-08002B2CF9AE}" pid="6" name="CalculationRule">
    <vt:i4>0</vt:i4>
  </property>
</Properties>
</file>