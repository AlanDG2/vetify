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ikeasistenciaarg-my.sharepoint.com/personal/lpicinotti_ikeasistencia_com_ar/Documents/Escritorio/"/>
    </mc:Choice>
  </mc:AlternateContent>
  <xr:revisionPtr revIDLastSave="98" documentId="11_58CBC5BC44333993AE15EA8AD8BEC47FAAC1BC36" xr6:coauthVersionLast="47" xr6:coauthVersionMax="47" xr10:uidLastSave="{B9811AB3-5BEE-48E4-B8BF-7279E947E579}"/>
  <bookViews>
    <workbookView xWindow="-108" yWindow="-108" windowWidth="23256" windowHeight="13896" xr2:uid="{00000000-000D-0000-FFFF-FFFF00000000}"/>
  </bookViews>
  <sheets>
    <sheet name="Roadmap QA Automation" sheetId="1" r:id="rId1"/>
    <sheet name="Dashboard Ejecutivo" sheetId="2" r:id="rId2"/>
    <sheet name="Guía" sheetId="3" r:id="rId3"/>
  </sheets>
  <definedNames>
    <definedName name="_xlnm._FilterDatabase" localSheetId="0" hidden="1">'Roadmap QA Automation'!$A$1:$K$78</definedName>
    <definedName name="_xlnm.Print_Titles" localSheetId="0">'Roadmap QA Automation'!$1:$1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3" i="2" l="1"/>
  <c r="C53" i="2"/>
  <c r="D52" i="2"/>
  <c r="C52" i="2"/>
  <c r="D51" i="2"/>
  <c r="C51" i="2"/>
  <c r="D50" i="2"/>
  <c r="C50" i="2"/>
  <c r="D49" i="2"/>
  <c r="C49" i="2"/>
  <c r="D44" i="2"/>
  <c r="C44" i="2"/>
  <c r="D43" i="2"/>
  <c r="C43" i="2"/>
  <c r="D42" i="2"/>
  <c r="C42" i="2"/>
  <c r="C36" i="2"/>
  <c r="C35" i="2"/>
  <c r="C34" i="2"/>
  <c r="C33" i="2"/>
  <c r="C32" i="2"/>
  <c r="D26" i="2"/>
  <c r="C26" i="2"/>
  <c r="D25" i="2"/>
  <c r="C25" i="2"/>
  <c r="D24" i="2"/>
  <c r="C24" i="2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H8" i="2"/>
  <c r="E8" i="2"/>
  <c r="B8" i="2"/>
</calcChain>
</file>

<file path=xl/sharedStrings.xml><?xml version="1.0" encoding="utf-8"?>
<sst xmlns="http://schemas.openxmlformats.org/spreadsheetml/2006/main" count="615" uniqueCount="302">
  <si>
    <t>ID</t>
  </si>
  <si>
    <t>Etapa</t>
  </si>
  <si>
    <t>Canal</t>
  </si>
  <si>
    <t>Nombre de flujo a automatizar</t>
  </si>
  <si>
    <t>Descripción del flujo a automatizar</t>
  </si>
  <si>
    <t>Tipo de escenario</t>
  </si>
  <si>
    <t>Criticidad</t>
  </si>
  <si>
    <t>Prioridad</t>
  </si>
  <si>
    <t>Estado de automatización %</t>
  </si>
  <si>
    <t>Dependencias</t>
  </si>
  <si>
    <t>Observaciones</t>
  </si>
  <si>
    <t>QA-AUTO-001</t>
  </si>
  <si>
    <t>01. Compra</t>
  </si>
  <si>
    <t>B2C Vetify</t>
  </si>
  <si>
    <t>Compra de plan B2C</t>
  </si>
  <si>
    <t>Happy Path</t>
  </si>
  <si>
    <t>Alta</t>
  </si>
  <si>
    <t>QA-AUTO-002</t>
  </si>
  <si>
    <t>OSDE Adquirente</t>
  </si>
  <si>
    <t>Compra de plan OSDE Adquirente</t>
  </si>
  <si>
    <t>QA-AUTO-003</t>
  </si>
  <si>
    <t>OSDE Capitado</t>
  </si>
  <si>
    <t>Alta de plan capitado</t>
  </si>
  <si>
    <t>Procesar alta de un afiliado capitado OSDE y validar asociación del plan.</t>
  </si>
  <si>
    <t>QA-AUTO-004</t>
  </si>
  <si>
    <t>Flux Capitado</t>
  </si>
  <si>
    <t>Alta de plan Flux Capitado</t>
  </si>
  <si>
    <t>Procesar alta Flux Capitado y validar asociación de cliente, plan y mascota.</t>
  </si>
  <si>
    <t>QA-AUTO-005</t>
  </si>
  <si>
    <t>02. Backend / Salesforce / Engage</t>
  </si>
  <si>
    <t>QA-AUTO-006</t>
  </si>
  <si>
    <t>Validar creación del cliente adquirente y datos asociados posterior a compra.</t>
  </si>
  <si>
    <t>QA-AUTO-007</t>
  </si>
  <si>
    <t>Validar alta y asociación del cliente capitado con OSDE y plan correspondiente.</t>
  </si>
  <si>
    <t>QA-AUTO-008</t>
  </si>
  <si>
    <t>Validar alta del cliente y asociación correcta con plan Flux Capitado.</t>
  </si>
  <si>
    <t>QA-AUTO-009</t>
  </si>
  <si>
    <t>Validar que el cliente comprado quede correctamente generado/habilitado en Engage.</t>
  </si>
  <si>
    <t>QA-AUTO-010</t>
  </si>
  <si>
    <t>Validar generación del cliente adquirente en Engage posterior a la compra.</t>
  </si>
  <si>
    <t>QA-AUTO-011</t>
  </si>
  <si>
    <t>QA-AUTO-012</t>
  </si>
  <si>
    <t>Alta en Engage - Flux</t>
  </si>
  <si>
    <t>Validar generación/habilitación del cliente Flux en Engage.</t>
  </si>
  <si>
    <t>QA-AUTO-013</t>
  </si>
  <si>
    <t>Todos</t>
  </si>
  <si>
    <t>Asociación cliente-plan</t>
  </si>
  <si>
    <t>Validar que cliente, plan, vigencia y datos de contratación queden correctamente asociados.</t>
  </si>
  <si>
    <t>Validación</t>
  </si>
  <si>
    <t>QA-AUTO-015</t>
  </si>
  <si>
    <t>Datos incompletos / inconsistentes</t>
  </si>
  <si>
    <t>Validar comportamiento ante información obligatoria faltante o inconsistente en alta.</t>
  </si>
  <si>
    <t>Negativo</t>
  </si>
  <si>
    <t>Media</t>
  </si>
  <si>
    <t>QA-AUTO-016</t>
  </si>
  <si>
    <t>03. Usuario / Acceso</t>
  </si>
  <si>
    <t>Adquirente</t>
  </si>
  <si>
    <t>Validar creación del usuario en Engage para el mundo adquirente posterior al alta.</t>
  </si>
  <si>
    <t>QA-AUTO-017</t>
  </si>
  <si>
    <t>Capitado OSDE</t>
  </si>
  <si>
    <t>Alta de capitado - usuario</t>
  </si>
  <si>
    <t>Validar alta del capitado y habilitación de acceso asociado al afiliado.</t>
  </si>
  <si>
    <t>QA-AUTO-018</t>
  </si>
  <si>
    <t>Registración de usuario</t>
  </si>
  <si>
    <t>Registrar un usuario nuevo y validar creación correcta de credenciales.</t>
  </si>
  <si>
    <t>QA-AUTO-019</t>
  </si>
  <si>
    <t>Registración con usuario existente</t>
  </si>
  <si>
    <t>QA-AUTO-020</t>
  </si>
  <si>
    <t>Registración con datos inválidos</t>
  </si>
  <si>
    <t>Validar controles de formato y campos obligatorios durante registración.</t>
  </si>
  <si>
    <t>QA-AUTO-021</t>
  </si>
  <si>
    <t>Activación de usuario</t>
  </si>
  <si>
    <t>Activar usuario y validar habilitación de acceso a WebApp.</t>
  </si>
  <si>
    <t>QA-AUTO-022</t>
  </si>
  <si>
    <t>Creación de contraseña</t>
  </si>
  <si>
    <t>Crear contraseña cumpliendo reglas de seguridad y validar acceso posterior.</t>
  </si>
  <si>
    <t>QA-AUTO-023</t>
  </si>
  <si>
    <t>Contraseña inválida</t>
  </si>
  <si>
    <t>Validar rechazo de contraseña que no cumpla las reglas definidas.</t>
  </si>
  <si>
    <t>QA-AUTO-024</t>
  </si>
  <si>
    <t>Ingresar por primera vez y validar acceso, sesión y landing inicial.</t>
  </si>
  <si>
    <t>QA-AUTO-025</t>
  </si>
  <si>
    <t>Login con credenciales inválidas</t>
  </si>
  <si>
    <t>Validar comportamiento ante usuario/contraseña incorrectos.</t>
  </si>
  <si>
    <t>QA-AUTO-026</t>
  </si>
  <si>
    <t>Recuperación de contraseña</t>
  </si>
  <si>
    <t>Solicitar recuperación, completar proceso y validar acceso con nueva contraseña.</t>
  </si>
  <si>
    <t>QA-AUTO-027</t>
  </si>
  <si>
    <t>Recuperación con usuario inexistente</t>
  </si>
  <si>
    <t>Validar comportamiento ante solicitud de recuperación para usuario no registrado.</t>
  </si>
  <si>
    <t>QA-AUTO-028</t>
  </si>
  <si>
    <t>Cambio de contraseña</t>
  </si>
  <si>
    <t>Cambiar contraseña desde usuario autenticado y validar nuevo acceso.</t>
  </si>
  <si>
    <t>QA-AUTO-029</t>
  </si>
  <si>
    <t>Cambio con contraseña actual incorrecta</t>
  </si>
  <si>
    <t>Validar rechazo cuando la contraseña actual informada no coincide.</t>
  </si>
  <si>
    <t>QA-AUTO-030</t>
  </si>
  <si>
    <t>Logout</t>
  </si>
  <si>
    <t>Cerrar sesión y validar invalidación de sesión.</t>
  </si>
  <si>
    <t>QA-AUTO-031</t>
  </si>
  <si>
    <t>Acceso posterior a logout</t>
  </si>
  <si>
    <t>Intentar acceder a contenido autenticado luego de cerrar sesión.</t>
  </si>
  <si>
    <t>QA-AUTO-032</t>
  </si>
  <si>
    <t>Refresh de sesión</t>
  </si>
  <si>
    <t>Validar persistencia/comportamiento de sesión al refrescar la WebApp.</t>
  </si>
  <si>
    <t>Regresión</t>
  </si>
  <si>
    <t>QA-AUTO-033</t>
  </si>
  <si>
    <t>04. WebApp - Perfil y mascotas</t>
  </si>
  <si>
    <t>Visualización de perfil</t>
  </si>
  <si>
    <t>Ingresar al perfil y validar visualización de datos del cliente.</t>
  </si>
  <si>
    <t>QA-AUTO-034</t>
  </si>
  <si>
    <t>Edición de perfil</t>
  </si>
  <si>
    <t>Modificar datos editables y validar persistencia del cambio.</t>
  </si>
  <si>
    <t>QA-AUTO-035</t>
  </si>
  <si>
    <t>Visualización de mascotas</t>
  </si>
  <si>
    <t>Consultar mascotas asociadas y validar información.</t>
  </si>
  <si>
    <t>QA-AUTO-036</t>
  </si>
  <si>
    <t>Detalle de mascota</t>
  </si>
  <si>
    <t>Ingresar al detalle de mascota y validar datos, plan y servicios asociados.</t>
  </si>
  <si>
    <t>QA-AUTO-037</t>
  </si>
  <si>
    <t>Cambio/selección de mascota</t>
  </si>
  <si>
    <t>Cambiar mascota activa y validar actualización de contexto.</t>
  </si>
  <si>
    <t>QA-AUTO-038</t>
  </si>
  <si>
    <t>05. Credencial</t>
  </si>
  <si>
    <t>QA-AUTO-039</t>
  </si>
  <si>
    <t>Carga de credencial</t>
  </si>
  <si>
    <t>Cargar credencial/documentación de mascota y validar proceso end-to-end.</t>
  </si>
  <si>
    <t>QA-AUTO-040</t>
  </si>
  <si>
    <t>Validación de credencial</t>
  </si>
  <si>
    <t>QA-AUTO-041</t>
  </si>
  <si>
    <t>QA-AUTO-043</t>
  </si>
  <si>
    <t>Encuesta CE post carga</t>
  </si>
  <si>
    <t>Validar disparo de encuesta de experiencia posterior a carga de credencial.</t>
  </si>
  <si>
    <t>Baja</t>
  </si>
  <si>
    <t>QA-AUTO-044</t>
  </si>
  <si>
    <t>06. Servicios</t>
  </si>
  <si>
    <t>QA-AUTO-045</t>
  </si>
  <si>
    <t>QA-AUTO-047</t>
  </si>
  <si>
    <t>QA-AUTO-048</t>
  </si>
  <si>
    <t>07. Videollamada</t>
  </si>
  <si>
    <t>Solicitar videollamada</t>
  </si>
  <si>
    <t>Seleccionar mascota, servicio y solicitar videollamada end-to-end.</t>
  </si>
  <si>
    <t>QA-AUTO-049</t>
  </si>
  <si>
    <t>Ingreso a videollamada</t>
  </si>
  <si>
    <t>Validar redirección e ingreso correcto a la videollamada.</t>
  </si>
  <si>
    <t>QA-AUTO-050</t>
  </si>
  <si>
    <t>Finalización de videollamada</t>
  </si>
  <si>
    <t>Finalizar sesión y validar retorno/estado posterior.</t>
  </si>
  <si>
    <t>QA-AUTO-051</t>
  </si>
  <si>
    <t>Redirección incorrecta</t>
  </si>
  <si>
    <t>Validar que no ocurra redirect incorrecto durante el acceso a videollamada.</t>
  </si>
  <si>
    <t>QA-AUTO-052</t>
  </si>
  <si>
    <t>Refresh durante videollamada</t>
  </si>
  <si>
    <t>Validar comportamiento ante refresh y persistencia/cierre de sesión.</t>
  </si>
  <si>
    <t>QA-AUTO-053</t>
  </si>
  <si>
    <t>Error de acceso a videollamada</t>
  </si>
  <si>
    <t>Validar mensaje y comportamiento ante indisponibilidad/error del servicio.</t>
  </si>
  <si>
    <t>QA-AUTO-054</t>
  </si>
  <si>
    <t>08. Prestadores / Red</t>
  </si>
  <si>
    <t>Acceso al mapa de veterinarias</t>
  </si>
  <si>
    <t>Ingresar al mapa y validar carga correcta.</t>
  </si>
  <si>
    <t>QA-AUTO-055</t>
  </si>
  <si>
    <t>Búsqueda de veterinarias</t>
  </si>
  <si>
    <t>Buscar prestadores por ubicación/filtros disponibles.</t>
  </si>
  <si>
    <t>QA-AUTO-056</t>
  </si>
  <si>
    <t>Detalle de veterinaria</t>
  </si>
  <si>
    <t>Ingresar al detalle y validar información del prestador.</t>
  </si>
  <si>
    <t>QA-AUTO-057</t>
  </si>
  <si>
    <t>Mapa sin resultados</t>
  </si>
  <si>
    <t>Validar comportamiento ante búsqueda sin prestadores disponibles.</t>
  </si>
  <si>
    <t>QA-AUTO-058</t>
  </si>
  <si>
    <t>Atención de Red</t>
  </si>
  <si>
    <t>Consultar información de atención de red y validar contenido correspondiente.</t>
  </si>
  <si>
    <t>QA-AUTO-059</t>
  </si>
  <si>
    <t>09. Cobertura y condicionados</t>
  </si>
  <si>
    <t>Consulta de cobertura</t>
  </si>
  <si>
    <t>Consultar cobertura del plan y validar información correspondiente.</t>
  </si>
  <si>
    <t>QA-AUTO-060</t>
  </si>
  <si>
    <t>Consulta de condicionado</t>
  </si>
  <si>
    <t>Acceder al condicionado/PDF correspondiente al plan.</t>
  </si>
  <si>
    <t>QA-AUTO-061</t>
  </si>
  <si>
    <t>Descarga de condicionado</t>
  </si>
  <si>
    <t>Descargar documento y validar disponibilidad/archivo correcto.</t>
  </si>
  <si>
    <t>QA-AUTO-062</t>
  </si>
  <si>
    <t>Plan sin condicionado disponible</t>
  </si>
  <si>
    <t>Validar comportamiento cuando el documento no está disponible.</t>
  </si>
  <si>
    <t>QA-AUTO-063</t>
  </si>
  <si>
    <t>10. Reintegros</t>
  </si>
  <si>
    <t>Acceso a reintegros</t>
  </si>
  <si>
    <t>Ingresar al módulo/landing de reintegros y validar acceso.</t>
  </si>
  <si>
    <t>QA-AUTO-064</t>
  </si>
  <si>
    <t>Solicitud de reintegro</t>
  </si>
  <si>
    <t>Completar solicitud de reintegro end-to-end.</t>
  </si>
  <si>
    <t>QA-AUTO-065</t>
  </si>
  <si>
    <t>Carga de documentación para reintegro</t>
  </si>
  <si>
    <t>Adjuntar comprobantes requeridos y validar envío.</t>
  </si>
  <si>
    <t>QA-AUTO-066</t>
  </si>
  <si>
    <t>Validación de datos de reintegro</t>
  </si>
  <si>
    <t>Validar campos obligatorios, formatos y reglas del formulario.</t>
  </si>
  <si>
    <t>QA-AUTO-067</t>
  </si>
  <si>
    <t>Reintegro con datos inválidos</t>
  </si>
  <si>
    <t>Validar rechazo/mensaje ante datos incorrectos.</t>
  </si>
  <si>
    <t>QA-AUTO-068</t>
  </si>
  <si>
    <t>Consulta de estado de reintegro</t>
  </si>
  <si>
    <t>Consultar estado de una solicitud y validar información mostrada.</t>
  </si>
  <si>
    <t>QA-AUTO-069</t>
  </si>
  <si>
    <t>11. Vetify Plus / Planes</t>
  </si>
  <si>
    <t>Visualización de Vetify Plus</t>
  </si>
  <si>
    <t>Validar visualización de Vetify Plus únicamente cuando corresponda.</t>
  </si>
  <si>
    <t>QA-AUTO-070</t>
  </si>
  <si>
    <t>Acceso a Vetify Plus</t>
  </si>
  <si>
    <t>Validar acceso y comportamiento de funcionalidades asociadas.</t>
  </si>
  <si>
    <t>QA-AUTO-071</t>
  </si>
  <si>
    <t>Contratar otro plan</t>
  </si>
  <si>
    <t>Iniciar flujo de contratación de otro plan desde WebApp.</t>
  </si>
  <si>
    <t>QA-AUTO-072</t>
  </si>
  <si>
    <t>Plan no elegible para usuario</t>
  </si>
  <si>
    <t>Validar que un usuario no elegible no pueda acceder/contratar opciones no correspondientes.</t>
  </si>
  <si>
    <t>12. Notificaciones</t>
  </si>
  <si>
    <t>QA-AUTO-076</t>
  </si>
  <si>
    <t>13. Regresión transversal</t>
  </si>
  <si>
    <t>Persistencia de sesión entre módulos</t>
  </si>
  <si>
    <t>Navegar entre módulos sin perder autenticación ni contexto.</t>
  </si>
  <si>
    <t>QA-AUTO-077</t>
  </si>
  <si>
    <t>Navegación principal</t>
  </si>
  <si>
    <t>Validar menú, rutas y navegación entre funcionalidades críticas.</t>
  </si>
  <si>
    <t>QA-AUTO-078</t>
  </si>
  <si>
    <t>Acceso directo a ruta protegida</t>
  </si>
  <si>
    <t>Ingresar directamente a URL protegida sin autenticación y validar control de acceso.</t>
  </si>
  <si>
    <t>QA-AUTO-079</t>
  </si>
  <si>
    <t>Compatibilidad de permisos por plan</t>
  </si>
  <si>
    <t>Validar que las funcionalidades visibles/respondan según plan y tipo de cliente.</t>
  </si>
  <si>
    <t>QA AUTOMATION | VETIFY</t>
  </si>
  <si>
    <t>Resumen ejecutivo</t>
  </si>
  <si>
    <t>Total escenarios</t>
  </si>
  <si>
    <t>% automatizado total</t>
  </si>
  <si>
    <t>Escenarios 100%</t>
  </si>
  <si>
    <t>Automatización por etapa</t>
  </si>
  <si>
    <t>Escenarios</t>
  </si>
  <si>
    <t>% automatizado</t>
  </si>
  <si>
    <t>Estado de automatización</t>
  </si>
  <si>
    <t>Estado</t>
  </si>
  <si>
    <t>Cantidad</t>
  </si>
  <si>
    <t>0%</t>
  </si>
  <si>
    <t>25%</t>
  </si>
  <si>
    <t>50%</t>
  </si>
  <si>
    <t>75%</t>
  </si>
  <si>
    <t>100%</t>
  </si>
  <si>
    <t>Automatización por criticidad</t>
  </si>
  <si>
    <t>Automatización por canal</t>
  </si>
  <si>
    <t>GUÍA DE USO</t>
  </si>
  <si>
    <t>Objetivo</t>
  </si>
  <si>
    <t>Roadmap editable de escenarios críticos de QA Automation para Vetify, ordenado end-to-end desde compra/alta hasta navegación y servicios.</t>
  </si>
  <si>
    <t>Escala de automatización</t>
  </si>
  <si>
    <t>No iniciado</t>
  </si>
  <si>
    <t>Escenario definido / preparación</t>
  </si>
  <si>
    <t>Automatización en desarrollo</t>
  </si>
  <si>
    <t>Automatizado, pendiente de estabilización</t>
  </si>
  <si>
    <t>Automatizado y estable</t>
  </si>
  <si>
    <t>Impacta venta, alta, acceso o servicio principal / impacto económico</t>
  </si>
  <si>
    <t>Funcionalidad importante con workaround o impacto acotado</t>
  </si>
  <si>
    <t>Funcionalidad secundaria/informativa o de bajo impacto</t>
  </si>
  <si>
    <t>Regla del dashboard</t>
  </si>
  <si>
    <t>El dashboard toma los porcentajes de la hoja Roadmap QA Automation. Actualizá la columna Estado de automatización % y Excel recalcula los indicadores.</t>
  </si>
  <si>
    <t xml:space="preserve">Realizar compra de un plan Vetify </t>
  </si>
  <si>
    <t>Validar creación del cliente en Engage a partir de una compra B2C.</t>
  </si>
  <si>
    <t xml:space="preserve">Validar generación/habilitación del cliente capitado </t>
  </si>
  <si>
    <t>Intentar registrar un usuario  como nuevo ya existente y validar mensaje/comportamiento esperado.</t>
  </si>
  <si>
    <t xml:space="preserve">Tipo de cliente </t>
  </si>
  <si>
    <t xml:space="preserve">Primer login Webapp </t>
  </si>
  <si>
    <t>Visualización de credencial Empty</t>
  </si>
  <si>
    <t>Visualizar las"n " credenciales ,según los planes contratados por el cliente.</t>
  </si>
  <si>
    <t xml:space="preserve">Validar comportamiento ante credencial esperado </t>
  </si>
  <si>
    <t>Cargar Foto/ dato inválido y validar rechazo y mensaje.</t>
  </si>
  <si>
    <t>Visualización de Tour onboarding por primera vez</t>
  </si>
  <si>
    <t xml:space="preserve">Ver elon boarding la primera vez que se logue en cualquier ya sea mobile o desktop </t>
  </si>
  <si>
    <t xml:space="preserve">Tour onboarding </t>
  </si>
  <si>
    <t xml:space="preserve">Tour onboarding en segundo logueo  </t>
  </si>
  <si>
    <t>El loguearse por segunda vez en cualquier dispositivo no debe visualizarse el onboarding</t>
  </si>
  <si>
    <t>Credencial cargada con errores</t>
  </si>
  <si>
    <t xml:space="preserve">11. Vetify Plus </t>
  </si>
  <si>
    <t>11. Vetify Plus</t>
  </si>
  <si>
    <t xml:space="preserve">Todos menos OSDE </t>
  </si>
  <si>
    <t xml:space="preserve">06. Servicios Emergencias </t>
  </si>
  <si>
    <t>Visualizar  en el menu y Quick Access</t>
  </si>
  <si>
    <t xml:space="preserve">Ingresar a la opción y visualizar la información del servico </t>
  </si>
  <si>
    <t xml:space="preserve">06. Servicios Asistencia presencial </t>
  </si>
  <si>
    <t>06. Servicios Asistencia a domicilio</t>
  </si>
  <si>
    <t xml:space="preserve">06. Historial de Atención </t>
  </si>
  <si>
    <t>Videollamada</t>
  </si>
  <si>
    <t xml:space="preserve">Cancelar turno ya agendado </t>
  </si>
  <si>
    <t xml:space="preserve">Permitir la cancelación del turno </t>
  </si>
  <si>
    <t xml:space="preserve">02. Backend  / Engage/ Sise </t>
  </si>
  <si>
    <t>Creación de usuario en webapp  - adquirente</t>
  </si>
  <si>
    <t xml:space="preserve">02. Backend  / Sise </t>
  </si>
  <si>
    <t xml:space="preserve">02. Backend  /  Sise </t>
  </si>
  <si>
    <t xml:space="preserve">Alta de cliente </t>
  </si>
  <si>
    <t xml:space="preserve">Alta de cliente adquirente </t>
  </si>
  <si>
    <t xml:space="preserve">Alta de cliente capitado </t>
  </si>
  <si>
    <t xml:space="preserve">Alta de cliente Flux </t>
  </si>
  <si>
    <t xml:space="preserve">Alta </t>
  </si>
  <si>
    <t>Alta  - capitado osde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</si>
</sst>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24"/>
      <color rgb="FFFFFFFF"/>
      <name val="Calibri"/>
    </font>
    <font>
      <b/>
      <sz val="16"/>
      <color rgb="FF17365D"/>
      <name val="Calibri"/>
    </font>
    <font>
      <b/>
      <sz val="20"/>
      <color rgb="FF17365D"/>
      <name val="Calibri"/>
    </font>
    <font>
      <b/>
      <sz val="14"/>
      <color rgb="FF17365D"/>
      <name val="Calibri"/>
    </font>
    <font>
      <b/>
      <sz val="11"/>
      <color rgb="FF17365D"/>
      <name val="Calibri"/>
    </font>
    <font>
      <b/>
      <sz val="11"/>
      <color rgb="FF1F2937"/>
      <name val="Calibri"/>
    </font>
  </fonts>
  <fills count="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4CCCC"/>
      </patternFill>
    </fill>
    <fill>
      <patternFill patternType="solid">
        <fgColor rgb="FFEAF2F8"/>
      </patternFill>
    </fill>
    <fill>
      <patternFill patternType="solid">
        <fgColor rgb="FFFCE5CD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3" borderId="0" xfId="0" applyFill="1" applyAlignment="1">
      <alignment vertical="top" wrapText="1"/>
    </xf>
    <xf numFmtId="164" fontId="0" fillId="4" borderId="0" xfId="0" applyNumberFormat="1" applyFill="1" applyAlignment="1">
      <alignment vertical="top" wrapText="1"/>
    </xf>
    <xf numFmtId="0" fontId="0" fillId="5" borderId="0" xfId="0" applyFill="1" applyAlignment="1">
      <alignment vertical="top" wrapText="1"/>
    </xf>
    <xf numFmtId="0" fontId="0" fillId="6" borderId="0" xfId="0" applyFill="1" applyAlignment="1">
      <alignment vertical="top"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1" fillId="2" borderId="0" xfId="0" applyFont="1" applyFill="1" applyAlignment="1">
      <alignment vertical="center" wrapText="1"/>
    </xf>
    <xf numFmtId="9" fontId="0" fillId="0" borderId="0" xfId="0" applyNumberFormat="1" applyAlignment="1">
      <alignment vertical="center" wrapText="1"/>
    </xf>
    <xf numFmtId="0" fontId="4" fillId="0" borderId="0" xfId="0" applyFont="1"/>
    <xf numFmtId="0" fontId="6" fillId="0" borderId="0" xfId="0" applyFont="1"/>
    <xf numFmtId="0" fontId="7" fillId="0" borderId="0" xfId="0" applyFont="1"/>
    <xf numFmtId="0" fontId="2" fillId="2" borderId="0" xfId="0" applyFont="1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1" fillId="7" borderId="0" xfId="0" applyFont="1" applyFill="1" applyAlignment="1">
      <alignment vertical="center" wrapText="1"/>
    </xf>
    <xf numFmtId="0" fontId="0" fillId="0" borderId="0" xfId="0" applyAlignment="1">
      <alignment vertical="center" wrapText="1"/>
    </xf>
    <xf numFmtId="9" fontId="4" fillId="8" borderId="0" xfId="0" applyNumberFormat="1" applyFont="1" applyFill="1" applyAlignment="1">
      <alignment vertical="center" wrapText="1"/>
    </xf>
    <xf numFmtId="0" fontId="4" fillId="8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AR"/>
              <a:t>Avance por etapa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'Dashboard Ejecutivo'!$D$13</c:f>
              <c:strCache>
                <c:ptCount val="1"/>
                <c:pt idx="0">
                  <c:v>% automatizado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'Dashboard Ejecutivo'!$B$14:$B$26</c:f>
              <c:strCache>
                <c:ptCount val="13"/>
                <c:pt idx="0">
                  <c:v>01. Compra</c:v>
                </c:pt>
                <c:pt idx="1">
                  <c:v>02. Backend / Salesforce / Engage</c:v>
                </c:pt>
                <c:pt idx="2">
                  <c:v>03. Usuario / Acceso</c:v>
                </c:pt>
                <c:pt idx="3">
                  <c:v>04. WebApp - Perfil y mascotas</c:v>
                </c:pt>
                <c:pt idx="4">
                  <c:v>05. Credencial</c:v>
                </c:pt>
                <c:pt idx="5">
                  <c:v>06. Servicios</c:v>
                </c:pt>
                <c:pt idx="6">
                  <c:v>07. Videollamada</c:v>
                </c:pt>
                <c:pt idx="7">
                  <c:v>08. Prestadores / Red</c:v>
                </c:pt>
                <c:pt idx="8">
                  <c:v>09. Cobertura y condicionados</c:v>
                </c:pt>
                <c:pt idx="9">
                  <c:v>10. Reintegros</c:v>
                </c:pt>
                <c:pt idx="10">
                  <c:v>11. Vetify Plus / Planes</c:v>
                </c:pt>
                <c:pt idx="11">
                  <c:v>12. Notificaciones</c:v>
                </c:pt>
                <c:pt idx="12">
                  <c:v>13. Regresión transversal</c:v>
                </c:pt>
              </c:strCache>
            </c:strRef>
          </c:cat>
          <c:val>
            <c:numRef>
              <c:f>'Dashboard Ejecutivo'!$D$14:$D$26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F1-42F4-B5A1-CCE518C1EF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AR"/>
                  <a:t>Etapa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AR"/>
                  <a:t>% automatizado</a:t>
                </a:r>
              </a:p>
            </c:rich>
          </c:tx>
          <c:overlay val="1"/>
        </c:title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AR"/>
              <a:t>Distribución por estado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'Dashboard Ejecutivo'!$C$31</c:f>
              <c:strCache>
                <c:ptCount val="1"/>
                <c:pt idx="0">
                  <c:v>Cantidad</c:v>
                </c:pt>
              </c:strCache>
            </c:strRef>
          </c:tx>
          <c:spPr>
            <a:ln>
              <a:prstDash val="solid"/>
            </a:ln>
          </c:spPr>
          <c:cat>
            <c:strRef>
              <c:f>'Dashboard Ejecutivo'!$B$32:$B$36</c:f>
              <c:strCache>
                <c:ptCount val="5"/>
                <c:pt idx="0">
                  <c:v>0%</c:v>
                </c:pt>
                <c:pt idx="1">
                  <c:v>25%</c:v>
                </c:pt>
                <c:pt idx="2">
                  <c:v>50%</c:v>
                </c:pt>
                <c:pt idx="3">
                  <c:v>75%</c:v>
                </c:pt>
                <c:pt idx="4">
                  <c:v>100%</c:v>
                </c:pt>
              </c:strCache>
            </c:strRef>
          </c:cat>
          <c:val>
            <c:numRef>
              <c:f>'Dashboard Ejecutivo'!$C$32:$C$36</c:f>
              <c:numCache>
                <c:formatCode>General</c:formatCode>
                <c:ptCount val="5"/>
                <c:pt idx="0">
                  <c:v>73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75-4CBE-BA38-A89126B45A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11</xdr:row>
      <xdr:rowOff>0</xdr:rowOff>
    </xdr:from>
    <xdr:ext cx="540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29</xdr:row>
      <xdr:rowOff>0</xdr:rowOff>
    </xdr:from>
    <xdr:ext cx="360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78"/>
  <sheetViews>
    <sheetView tabSelected="1" workbookViewId="0">
      <pane ySplit="1" topLeftCell="A4" activePane="bottomLeft" state="frozen"/>
      <selection pane="bottomLeft" activeCell="E8" sqref="E8"/>
    </sheetView>
  </sheetViews>
  <sheetFormatPr baseColWidth="10" defaultColWidth="8.88671875" defaultRowHeight="14.4" x14ac:dyDescent="0.3"/>
  <cols>
    <col min="1" max="1" width="16" customWidth="1"/>
    <col min="2" max="2" width="28" customWidth="1"/>
    <col min="3" max="3" width="20" customWidth="1"/>
    <col min="4" max="4" width="38" customWidth="1"/>
    <col min="5" max="5" width="58" customWidth="1"/>
    <col min="6" max="6" width="20" customWidth="1"/>
    <col min="7" max="7" width="14" customWidth="1"/>
    <col min="8" max="8" width="12" customWidth="1"/>
    <col min="9" max="9" width="24" customWidth="1"/>
    <col min="10" max="10" width="28" customWidth="1"/>
    <col min="11" max="11" width="35" customWidth="1"/>
  </cols>
  <sheetData>
    <row r="1" spans="1:11" ht="34.049999999999997" customHeight="1" x14ac:dyDescent="0.3">
      <c r="A1" s="1" t="s">
        <v>0</v>
      </c>
      <c r="B1" s="1" t="s">
        <v>1</v>
      </c>
      <c r="C1" s="1" t="s">
        <v>268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">
      <c r="A2" s="2" t="s">
        <v>11</v>
      </c>
      <c r="B2" s="2" t="s">
        <v>12</v>
      </c>
      <c r="C2" s="2" t="s">
        <v>13</v>
      </c>
      <c r="D2" s="2" t="s">
        <v>14</v>
      </c>
      <c r="E2" s="2" t="s">
        <v>264</v>
      </c>
      <c r="F2" s="2" t="s">
        <v>15</v>
      </c>
      <c r="G2" s="3" t="s">
        <v>16</v>
      </c>
      <c r="H2" s="2">
        <v>1</v>
      </c>
      <c r="I2" s="4">
        <v>0</v>
      </c>
      <c r="J2" s="2"/>
      <c r="K2" s="2"/>
    </row>
    <row r="3" spans="1:11" x14ac:dyDescent="0.3">
      <c r="A3" s="2" t="s">
        <v>17</v>
      </c>
      <c r="B3" s="2" t="s">
        <v>12</v>
      </c>
      <c r="C3" s="2" t="s">
        <v>18</v>
      </c>
      <c r="D3" s="2" t="s">
        <v>19</v>
      </c>
      <c r="E3" s="2" t="s">
        <v>264</v>
      </c>
      <c r="F3" s="2" t="s">
        <v>15</v>
      </c>
      <c r="G3" s="3" t="s">
        <v>16</v>
      </c>
      <c r="H3" s="2">
        <v>1</v>
      </c>
      <c r="I3" s="4">
        <v>0</v>
      </c>
      <c r="J3" s="2"/>
      <c r="K3" s="2"/>
    </row>
    <row r="4" spans="1:11" ht="28.8" x14ac:dyDescent="0.3">
      <c r="A4" s="2" t="s">
        <v>20</v>
      </c>
      <c r="B4" s="2" t="s">
        <v>12</v>
      </c>
      <c r="C4" s="2" t="s">
        <v>21</v>
      </c>
      <c r="D4" s="2" t="s">
        <v>22</v>
      </c>
      <c r="E4" s="2" t="s">
        <v>23</v>
      </c>
      <c r="F4" s="2" t="s">
        <v>15</v>
      </c>
      <c r="G4" s="3" t="s">
        <v>16</v>
      </c>
      <c r="H4" s="2">
        <v>1</v>
      </c>
      <c r="I4" s="4">
        <v>0</v>
      </c>
      <c r="J4" s="2"/>
      <c r="K4" s="2"/>
    </row>
    <row r="5" spans="1:11" ht="28.8" x14ac:dyDescent="0.3">
      <c r="A5" s="2" t="s">
        <v>24</v>
      </c>
      <c r="B5" s="2" t="s">
        <v>12</v>
      </c>
      <c r="C5" s="2" t="s">
        <v>25</v>
      </c>
      <c r="D5" s="2" t="s">
        <v>26</v>
      </c>
      <c r="E5" s="2" t="s">
        <v>27</v>
      </c>
      <c r="F5" s="2" t="s">
        <v>15</v>
      </c>
      <c r="G5" s="3" t="s">
        <v>16</v>
      </c>
      <c r="H5" s="2">
        <v>1</v>
      </c>
      <c r="I5" s="4">
        <v>0</v>
      </c>
      <c r="J5" s="2"/>
      <c r="K5" s="2"/>
    </row>
    <row r="6" spans="1:11" x14ac:dyDescent="0.3">
      <c r="A6" s="2" t="s">
        <v>28</v>
      </c>
      <c r="B6" s="2" t="s">
        <v>292</v>
      </c>
      <c r="C6" s="2" t="s">
        <v>13</v>
      </c>
      <c r="D6" s="2" t="s">
        <v>296</v>
      </c>
      <c r="E6" s="2" t="s">
        <v>265</v>
      </c>
      <c r="F6" s="2" t="s">
        <v>15</v>
      </c>
      <c r="G6" s="3" t="s">
        <v>16</v>
      </c>
      <c r="H6" s="2">
        <v>1</v>
      </c>
      <c r="I6" s="4">
        <v>0</v>
      </c>
      <c r="J6" s="2"/>
      <c r="K6" s="2"/>
    </row>
    <row r="7" spans="1:11" ht="28.8" x14ac:dyDescent="0.3">
      <c r="A7" s="2" t="s">
        <v>30</v>
      </c>
      <c r="B7" s="2" t="s">
        <v>292</v>
      </c>
      <c r="C7" s="2" t="s">
        <v>18</v>
      </c>
      <c r="D7" s="2" t="s">
        <v>297</v>
      </c>
      <c r="E7" s="2" t="s">
        <v>31</v>
      </c>
      <c r="F7" s="2" t="s">
        <v>15</v>
      </c>
      <c r="G7" s="3" t="s">
        <v>16</v>
      </c>
      <c r="H7" s="2">
        <v>1</v>
      </c>
      <c r="I7" s="4">
        <v>0</v>
      </c>
      <c r="J7" s="2"/>
      <c r="K7" s="2"/>
    </row>
    <row r="8" spans="1:11" ht="28.8" x14ac:dyDescent="0.3">
      <c r="A8" s="2" t="s">
        <v>32</v>
      </c>
      <c r="B8" s="2" t="s">
        <v>294</v>
      </c>
      <c r="C8" s="2" t="s">
        <v>21</v>
      </c>
      <c r="D8" s="2" t="s">
        <v>298</v>
      </c>
      <c r="E8" s="2" t="s">
        <v>33</v>
      </c>
      <c r="F8" s="2" t="s">
        <v>15</v>
      </c>
      <c r="G8" s="3" t="s">
        <v>16</v>
      </c>
      <c r="H8" s="2">
        <v>1</v>
      </c>
      <c r="I8" s="4">
        <v>0</v>
      </c>
      <c r="J8" s="2"/>
      <c r="K8" s="2"/>
    </row>
    <row r="9" spans="1:11" x14ac:dyDescent="0.3">
      <c r="A9" s="2" t="s">
        <v>34</v>
      </c>
      <c r="B9" s="2" t="s">
        <v>295</v>
      </c>
      <c r="C9" s="2" t="s">
        <v>25</v>
      </c>
      <c r="D9" s="2" t="s">
        <v>299</v>
      </c>
      <c r="E9" s="2" t="s">
        <v>35</v>
      </c>
      <c r="F9" s="2" t="s">
        <v>15</v>
      </c>
      <c r="G9" s="3" t="s">
        <v>16</v>
      </c>
      <c r="H9" s="2">
        <v>1</v>
      </c>
      <c r="I9" s="4">
        <v>0</v>
      </c>
      <c r="J9" s="2"/>
      <c r="K9" s="2"/>
    </row>
    <row r="10" spans="1:11" ht="28.8" x14ac:dyDescent="0.3">
      <c r="A10" s="2" t="s">
        <v>36</v>
      </c>
      <c r="B10" s="2" t="s">
        <v>292</v>
      </c>
      <c r="C10" s="2" t="s">
        <v>13</v>
      </c>
      <c r="D10" s="2" t="s">
        <v>300</v>
      </c>
      <c r="E10" s="2" t="s">
        <v>37</v>
      </c>
      <c r="F10" s="2" t="s">
        <v>15</v>
      </c>
      <c r="G10" s="3" t="s">
        <v>16</v>
      </c>
      <c r="H10" s="2">
        <v>1</v>
      </c>
      <c r="I10" s="4">
        <v>0</v>
      </c>
      <c r="J10" s="2"/>
      <c r="K10" s="2"/>
    </row>
    <row r="11" spans="1:11" ht="28.8" x14ac:dyDescent="0.3">
      <c r="A11" s="2" t="s">
        <v>38</v>
      </c>
      <c r="B11" s="2" t="s">
        <v>292</v>
      </c>
      <c r="C11" s="2" t="s">
        <v>18</v>
      </c>
      <c r="D11" s="2" t="s">
        <v>300</v>
      </c>
      <c r="E11" s="2" t="s">
        <v>39</v>
      </c>
      <c r="F11" s="2" t="s">
        <v>15</v>
      </c>
      <c r="G11" s="3" t="s">
        <v>16</v>
      </c>
      <c r="H11" s="2">
        <v>1</v>
      </c>
      <c r="I11" s="4">
        <v>0</v>
      </c>
      <c r="J11" s="2"/>
      <c r="K11" s="2"/>
    </row>
    <row r="12" spans="1:11" x14ac:dyDescent="0.3">
      <c r="A12" s="2" t="s">
        <v>40</v>
      </c>
      <c r="B12" s="2" t="s">
        <v>294</v>
      </c>
      <c r="C12" s="2" t="s">
        <v>21</v>
      </c>
      <c r="D12" s="2" t="s">
        <v>301</v>
      </c>
      <c r="E12" s="2" t="s">
        <v>266</v>
      </c>
      <c r="F12" s="2" t="s">
        <v>15</v>
      </c>
      <c r="G12" s="3" t="s">
        <v>16</v>
      </c>
      <c r="H12" s="2">
        <v>1</v>
      </c>
      <c r="I12" s="4">
        <v>0</v>
      </c>
      <c r="J12" s="2"/>
      <c r="K12" s="2"/>
    </row>
    <row r="13" spans="1:11" x14ac:dyDescent="0.3">
      <c r="A13" s="2" t="s">
        <v>41</v>
      </c>
      <c r="B13" s="2" t="s">
        <v>292</v>
      </c>
      <c r="C13" s="2" t="s">
        <v>25</v>
      </c>
      <c r="D13" s="2" t="s">
        <v>42</v>
      </c>
      <c r="E13" s="2" t="s">
        <v>43</v>
      </c>
      <c r="F13" s="2" t="s">
        <v>15</v>
      </c>
      <c r="G13" s="3" t="s">
        <v>16</v>
      </c>
      <c r="H13" s="2">
        <v>1</v>
      </c>
      <c r="I13" s="4">
        <v>0</v>
      </c>
      <c r="J13" s="2"/>
      <c r="K13" s="2"/>
    </row>
    <row r="14" spans="1:11" ht="28.8" x14ac:dyDescent="0.3">
      <c r="A14" s="2" t="s">
        <v>44</v>
      </c>
      <c r="B14" s="2" t="s">
        <v>292</v>
      </c>
      <c r="C14" s="2" t="s">
        <v>45</v>
      </c>
      <c r="D14" s="2" t="s">
        <v>46</v>
      </c>
      <c r="E14" s="2" t="s">
        <v>47</v>
      </c>
      <c r="F14" s="2" t="s">
        <v>48</v>
      </c>
      <c r="G14" s="3" t="s">
        <v>16</v>
      </c>
      <c r="H14" s="2">
        <v>1</v>
      </c>
      <c r="I14" s="4">
        <v>0</v>
      </c>
      <c r="J14" s="2"/>
      <c r="K14" s="2"/>
    </row>
    <row r="15" spans="1:11" ht="28.8" x14ac:dyDescent="0.3">
      <c r="A15" s="2" t="s">
        <v>49</v>
      </c>
      <c r="B15" s="2" t="s">
        <v>292</v>
      </c>
      <c r="C15" s="2" t="s">
        <v>45</v>
      </c>
      <c r="D15" s="2" t="s">
        <v>50</v>
      </c>
      <c r="E15" s="2" t="s">
        <v>51</v>
      </c>
      <c r="F15" s="2" t="s">
        <v>52</v>
      </c>
      <c r="G15" s="5" t="s">
        <v>53</v>
      </c>
      <c r="H15" s="2">
        <v>2</v>
      </c>
      <c r="I15" s="4">
        <v>0</v>
      </c>
      <c r="J15" s="2"/>
      <c r="K15" s="2"/>
    </row>
    <row r="16" spans="1:11" ht="28.8" x14ac:dyDescent="0.3">
      <c r="A16" s="2" t="s">
        <v>54</v>
      </c>
      <c r="B16" s="2" t="s">
        <v>55</v>
      </c>
      <c r="C16" s="2" t="s">
        <v>56</v>
      </c>
      <c r="D16" s="2" t="s">
        <v>293</v>
      </c>
      <c r="E16" s="2" t="s">
        <v>57</v>
      </c>
      <c r="F16" s="2" t="s">
        <v>15</v>
      </c>
      <c r="G16" s="3" t="s">
        <v>16</v>
      </c>
      <c r="H16" s="2">
        <v>1</v>
      </c>
      <c r="I16" s="4">
        <v>0</v>
      </c>
      <c r="J16" s="2"/>
      <c r="K16" s="2"/>
    </row>
    <row r="17" spans="1:11" ht="28.8" x14ac:dyDescent="0.3">
      <c r="A17" s="2" t="s">
        <v>58</v>
      </c>
      <c r="B17" s="2" t="s">
        <v>55</v>
      </c>
      <c r="C17" s="2" t="s">
        <v>59</v>
      </c>
      <c r="D17" s="2" t="s">
        <v>60</v>
      </c>
      <c r="E17" s="2" t="s">
        <v>61</v>
      </c>
      <c r="F17" s="2" t="s">
        <v>15</v>
      </c>
      <c r="G17" s="3" t="s">
        <v>16</v>
      </c>
      <c r="H17" s="2">
        <v>1</v>
      </c>
      <c r="I17" s="4">
        <v>0</v>
      </c>
      <c r="J17" s="2"/>
      <c r="K17" s="2"/>
    </row>
    <row r="18" spans="1:11" ht="28.8" x14ac:dyDescent="0.3">
      <c r="A18" s="2" t="s">
        <v>62</v>
      </c>
      <c r="B18" s="2" t="s">
        <v>55</v>
      </c>
      <c r="C18" s="2" t="s">
        <v>45</v>
      </c>
      <c r="D18" s="2" t="s">
        <v>63</v>
      </c>
      <c r="E18" s="2" t="s">
        <v>64</v>
      </c>
      <c r="F18" s="2" t="s">
        <v>15</v>
      </c>
      <c r="G18" s="3" t="s">
        <v>16</v>
      </c>
      <c r="H18" s="2">
        <v>1</v>
      </c>
      <c r="I18" s="4">
        <v>0</v>
      </c>
      <c r="J18" s="2"/>
      <c r="K18" s="2"/>
    </row>
    <row r="19" spans="1:11" ht="28.8" x14ac:dyDescent="0.3">
      <c r="A19" s="2" t="s">
        <v>65</v>
      </c>
      <c r="B19" s="2" t="s">
        <v>55</v>
      </c>
      <c r="C19" s="2" t="s">
        <v>45</v>
      </c>
      <c r="D19" s="2" t="s">
        <v>66</v>
      </c>
      <c r="E19" s="2" t="s">
        <v>267</v>
      </c>
      <c r="F19" s="2" t="s">
        <v>48</v>
      </c>
      <c r="G19" s="5" t="s">
        <v>53</v>
      </c>
      <c r="H19" s="2">
        <v>2</v>
      </c>
      <c r="I19" s="4">
        <v>0</v>
      </c>
      <c r="J19" s="2"/>
      <c r="K19" s="2"/>
    </row>
    <row r="20" spans="1:11" ht="28.8" x14ac:dyDescent="0.3">
      <c r="A20" s="2" t="s">
        <v>67</v>
      </c>
      <c r="B20" s="2" t="s">
        <v>55</v>
      </c>
      <c r="C20" s="2" t="s">
        <v>45</v>
      </c>
      <c r="D20" s="2" t="s">
        <v>68</v>
      </c>
      <c r="E20" s="2" t="s">
        <v>69</v>
      </c>
      <c r="F20" s="2" t="s">
        <v>48</v>
      </c>
      <c r="G20" s="5" t="s">
        <v>53</v>
      </c>
      <c r="H20" s="2">
        <v>2</v>
      </c>
      <c r="I20" s="4">
        <v>0</v>
      </c>
      <c r="J20" s="2"/>
      <c r="K20" s="2"/>
    </row>
    <row r="21" spans="1:11" x14ac:dyDescent="0.3">
      <c r="A21" s="2" t="s">
        <v>70</v>
      </c>
      <c r="B21" s="2" t="s">
        <v>55</v>
      </c>
      <c r="C21" s="2" t="s">
        <v>45</v>
      </c>
      <c r="D21" s="2" t="s">
        <v>71</v>
      </c>
      <c r="E21" s="2" t="s">
        <v>72</v>
      </c>
      <c r="F21" s="2" t="s">
        <v>15</v>
      </c>
      <c r="G21" s="3" t="s">
        <v>16</v>
      </c>
      <c r="H21" s="2">
        <v>1</v>
      </c>
      <c r="I21" s="4">
        <v>0</v>
      </c>
      <c r="J21" s="2"/>
      <c r="K21" s="2"/>
    </row>
    <row r="22" spans="1:11" ht="28.8" x14ac:dyDescent="0.3">
      <c r="A22" s="2" t="s">
        <v>73</v>
      </c>
      <c r="B22" s="2" t="s">
        <v>55</v>
      </c>
      <c r="C22" s="2" t="s">
        <v>45</v>
      </c>
      <c r="D22" s="2" t="s">
        <v>74</v>
      </c>
      <c r="E22" s="2" t="s">
        <v>75</v>
      </c>
      <c r="F22" s="2" t="s">
        <v>15</v>
      </c>
      <c r="G22" s="3" t="s">
        <v>16</v>
      </c>
      <c r="H22" s="2">
        <v>1</v>
      </c>
      <c r="I22" s="4">
        <v>0</v>
      </c>
      <c r="J22" s="2"/>
      <c r="K22" s="2"/>
    </row>
    <row r="23" spans="1:11" x14ac:dyDescent="0.3">
      <c r="A23" s="2" t="s">
        <v>76</v>
      </c>
      <c r="B23" s="2" t="s">
        <v>55</v>
      </c>
      <c r="C23" s="2" t="s">
        <v>45</v>
      </c>
      <c r="D23" s="2" t="s">
        <v>77</v>
      </c>
      <c r="E23" s="2" t="s">
        <v>78</v>
      </c>
      <c r="F23" s="2" t="s">
        <v>52</v>
      </c>
      <c r="G23" s="5" t="s">
        <v>53</v>
      </c>
      <c r="H23" s="2">
        <v>2</v>
      </c>
      <c r="I23" s="4">
        <v>0</v>
      </c>
      <c r="J23" s="2"/>
      <c r="K23" s="2"/>
    </row>
    <row r="24" spans="1:11" x14ac:dyDescent="0.3">
      <c r="A24" s="2" t="s">
        <v>79</v>
      </c>
      <c r="B24" s="2" t="s">
        <v>55</v>
      </c>
      <c r="C24" s="2" t="s">
        <v>45</v>
      </c>
      <c r="D24" s="2" t="s">
        <v>269</v>
      </c>
      <c r="E24" s="2" t="s">
        <v>80</v>
      </c>
      <c r="F24" s="2" t="s">
        <v>15</v>
      </c>
      <c r="G24" s="3" t="s">
        <v>16</v>
      </c>
      <c r="H24" s="2">
        <v>1</v>
      </c>
      <c r="I24" s="4">
        <v>0</v>
      </c>
      <c r="J24" s="2"/>
      <c r="K24" s="2"/>
    </row>
    <row r="25" spans="1:11" x14ac:dyDescent="0.3">
      <c r="A25" s="2" t="s">
        <v>81</v>
      </c>
      <c r="B25" s="2" t="s">
        <v>55</v>
      </c>
      <c r="C25" s="2" t="s">
        <v>45</v>
      </c>
      <c r="D25" s="2" t="s">
        <v>82</v>
      </c>
      <c r="E25" s="2" t="s">
        <v>83</v>
      </c>
      <c r="F25" s="2" t="s">
        <v>52</v>
      </c>
      <c r="G25" s="3" t="s">
        <v>16</v>
      </c>
      <c r="H25" s="2">
        <v>1</v>
      </c>
      <c r="I25" s="4">
        <v>0</v>
      </c>
      <c r="J25" s="2"/>
      <c r="K25" s="2"/>
    </row>
    <row r="26" spans="1:11" ht="28.8" x14ac:dyDescent="0.3">
      <c r="A26" s="2" t="s">
        <v>84</v>
      </c>
      <c r="B26" s="2" t="s">
        <v>55</v>
      </c>
      <c r="C26" s="2" t="s">
        <v>45</v>
      </c>
      <c r="D26" s="2" t="s">
        <v>85</v>
      </c>
      <c r="E26" s="2" t="s">
        <v>86</v>
      </c>
      <c r="F26" s="2" t="s">
        <v>15</v>
      </c>
      <c r="G26" s="3" t="s">
        <v>16</v>
      </c>
      <c r="H26" s="2">
        <v>1</v>
      </c>
      <c r="I26" s="4">
        <v>0</v>
      </c>
      <c r="J26" s="2"/>
      <c r="K26" s="2"/>
    </row>
    <row r="27" spans="1:11" ht="28.8" x14ac:dyDescent="0.3">
      <c r="A27" s="2" t="s">
        <v>87</v>
      </c>
      <c r="B27" s="2" t="s">
        <v>55</v>
      </c>
      <c r="C27" s="2" t="s">
        <v>45</v>
      </c>
      <c r="D27" s="2" t="s">
        <v>88</v>
      </c>
      <c r="E27" s="2" t="s">
        <v>89</v>
      </c>
      <c r="F27" s="2" t="s">
        <v>52</v>
      </c>
      <c r="G27" s="5" t="s">
        <v>53</v>
      </c>
      <c r="H27" s="2">
        <v>2</v>
      </c>
      <c r="I27" s="4">
        <v>0</v>
      </c>
      <c r="J27" s="2"/>
      <c r="K27" s="2"/>
    </row>
    <row r="28" spans="1:11" ht="28.8" x14ac:dyDescent="0.3">
      <c r="A28" s="2" t="s">
        <v>90</v>
      </c>
      <c r="B28" s="2" t="s">
        <v>55</v>
      </c>
      <c r="C28" s="2" t="s">
        <v>45</v>
      </c>
      <c r="D28" s="2" t="s">
        <v>91</v>
      </c>
      <c r="E28" s="2" t="s">
        <v>92</v>
      </c>
      <c r="F28" s="2" t="s">
        <v>15</v>
      </c>
      <c r="G28" s="3" t="s">
        <v>16</v>
      </c>
      <c r="H28" s="2">
        <v>1</v>
      </c>
      <c r="I28" s="4">
        <v>0</v>
      </c>
      <c r="J28" s="2"/>
      <c r="K28" s="2"/>
    </row>
    <row r="29" spans="1:11" x14ac:dyDescent="0.3">
      <c r="A29" s="2" t="s">
        <v>93</v>
      </c>
      <c r="B29" s="2" t="s">
        <v>55</v>
      </c>
      <c r="C29" s="2" t="s">
        <v>45</v>
      </c>
      <c r="D29" s="2" t="s">
        <v>94</v>
      </c>
      <c r="E29" s="2" t="s">
        <v>95</v>
      </c>
      <c r="F29" s="2" t="s">
        <v>52</v>
      </c>
      <c r="G29" s="5" t="s">
        <v>53</v>
      </c>
      <c r="H29" s="2">
        <v>2</v>
      </c>
      <c r="I29" s="4">
        <v>0</v>
      </c>
      <c r="J29" s="2"/>
      <c r="K29" s="2"/>
    </row>
    <row r="30" spans="1:11" x14ac:dyDescent="0.3">
      <c r="A30" s="2" t="s">
        <v>96</v>
      </c>
      <c r="B30" s="2" t="s">
        <v>55</v>
      </c>
      <c r="C30" s="2" t="s">
        <v>45</v>
      </c>
      <c r="D30" s="2" t="s">
        <v>97</v>
      </c>
      <c r="E30" s="2" t="s">
        <v>98</v>
      </c>
      <c r="F30" s="2" t="s">
        <v>15</v>
      </c>
      <c r="G30" s="3" t="s">
        <v>16</v>
      </c>
      <c r="H30" s="2">
        <v>1</v>
      </c>
      <c r="I30" s="4">
        <v>0</v>
      </c>
      <c r="J30" s="2"/>
      <c r="K30" s="2"/>
    </row>
    <row r="31" spans="1:11" x14ac:dyDescent="0.3">
      <c r="A31" s="2" t="s">
        <v>99</v>
      </c>
      <c r="B31" s="2" t="s">
        <v>55</v>
      </c>
      <c r="C31" s="2" t="s">
        <v>45</v>
      </c>
      <c r="D31" s="2" t="s">
        <v>100</v>
      </c>
      <c r="E31" s="2" t="s">
        <v>101</v>
      </c>
      <c r="F31" s="2" t="s">
        <v>52</v>
      </c>
      <c r="G31" s="3" t="s">
        <v>16</v>
      </c>
      <c r="H31" s="2">
        <v>1</v>
      </c>
      <c r="I31" s="4">
        <v>0</v>
      </c>
      <c r="J31" s="2"/>
      <c r="K31" s="2"/>
    </row>
    <row r="32" spans="1:11" ht="28.8" x14ac:dyDescent="0.3">
      <c r="A32" s="2" t="s">
        <v>102</v>
      </c>
      <c r="B32" s="2" t="s">
        <v>55</v>
      </c>
      <c r="C32" s="2" t="s">
        <v>45</v>
      </c>
      <c r="D32" s="2" t="s">
        <v>103</v>
      </c>
      <c r="E32" s="2" t="s">
        <v>104</v>
      </c>
      <c r="F32" s="2" t="s">
        <v>105</v>
      </c>
      <c r="G32" s="3" t="s">
        <v>16</v>
      </c>
      <c r="H32" s="2">
        <v>1</v>
      </c>
      <c r="I32" s="4">
        <v>0</v>
      </c>
      <c r="J32" s="2"/>
      <c r="K32" s="2"/>
    </row>
    <row r="33" spans="1:11" x14ac:dyDescent="0.3">
      <c r="A33" s="2" t="s">
        <v>106</v>
      </c>
      <c r="B33" s="2" t="s">
        <v>107</v>
      </c>
      <c r="C33" s="2" t="s">
        <v>45</v>
      </c>
      <c r="D33" s="2" t="s">
        <v>108</v>
      </c>
      <c r="E33" s="2" t="s">
        <v>109</v>
      </c>
      <c r="F33" s="2" t="s">
        <v>15</v>
      </c>
      <c r="G33" s="5" t="s">
        <v>53</v>
      </c>
      <c r="H33" s="2">
        <v>2</v>
      </c>
      <c r="I33" s="4">
        <v>0</v>
      </c>
      <c r="J33" s="2"/>
      <c r="K33" s="2"/>
    </row>
    <row r="34" spans="1:11" x14ac:dyDescent="0.3">
      <c r="A34" s="2" t="s">
        <v>110</v>
      </c>
      <c r="B34" s="2" t="s">
        <v>107</v>
      </c>
      <c r="C34" s="2" t="s">
        <v>45</v>
      </c>
      <c r="D34" s="2" t="s">
        <v>111</v>
      </c>
      <c r="E34" s="2" t="s">
        <v>112</v>
      </c>
      <c r="F34" s="2" t="s">
        <v>15</v>
      </c>
      <c r="G34" s="5" t="s">
        <v>53</v>
      </c>
      <c r="H34" s="2">
        <v>2</v>
      </c>
      <c r="I34" s="4">
        <v>0</v>
      </c>
      <c r="J34" s="2"/>
      <c r="K34" s="2"/>
    </row>
    <row r="35" spans="1:11" x14ac:dyDescent="0.3">
      <c r="A35" s="2" t="s">
        <v>113</v>
      </c>
      <c r="B35" s="2" t="s">
        <v>107</v>
      </c>
      <c r="C35" s="2" t="s">
        <v>45</v>
      </c>
      <c r="D35" s="2" t="s">
        <v>114</v>
      </c>
      <c r="E35" s="2" t="s">
        <v>115</v>
      </c>
      <c r="F35" s="2" t="s">
        <v>15</v>
      </c>
      <c r="G35" s="3" t="s">
        <v>16</v>
      </c>
      <c r="H35" s="2">
        <v>1</v>
      </c>
      <c r="I35" s="4">
        <v>0</v>
      </c>
      <c r="J35" s="2"/>
      <c r="K35" s="2"/>
    </row>
    <row r="36" spans="1:11" ht="28.8" x14ac:dyDescent="0.3">
      <c r="A36" s="2" t="s">
        <v>116</v>
      </c>
      <c r="B36" s="2" t="s">
        <v>107</v>
      </c>
      <c r="C36" s="2" t="s">
        <v>45</v>
      </c>
      <c r="D36" s="2" t="s">
        <v>117</v>
      </c>
      <c r="E36" s="2" t="s">
        <v>118</v>
      </c>
      <c r="F36" s="2" t="s">
        <v>15</v>
      </c>
      <c r="G36" s="3" t="s">
        <v>16</v>
      </c>
      <c r="H36" s="2">
        <v>1</v>
      </c>
      <c r="I36" s="4">
        <v>0</v>
      </c>
      <c r="J36" s="2"/>
      <c r="K36" s="2"/>
    </row>
    <row r="37" spans="1:11" x14ac:dyDescent="0.3">
      <c r="A37" s="2" t="s">
        <v>119</v>
      </c>
      <c r="B37" s="2" t="s">
        <v>107</v>
      </c>
      <c r="C37" s="2" t="s">
        <v>45</v>
      </c>
      <c r="D37" s="2" t="s">
        <v>120</v>
      </c>
      <c r="E37" s="2" t="s">
        <v>121</v>
      </c>
      <c r="F37" s="2" t="s">
        <v>15</v>
      </c>
      <c r="G37" s="3" t="s">
        <v>16</v>
      </c>
      <c r="H37" s="2">
        <v>1</v>
      </c>
      <c r="I37" s="4">
        <v>0</v>
      </c>
      <c r="J37" s="2"/>
      <c r="K37" s="2"/>
    </row>
    <row r="38" spans="1:11" ht="28.8" x14ac:dyDescent="0.3">
      <c r="A38" s="2"/>
      <c r="B38" s="2" t="s">
        <v>276</v>
      </c>
      <c r="C38" s="2" t="s">
        <v>45</v>
      </c>
      <c r="D38" s="2" t="s">
        <v>274</v>
      </c>
      <c r="E38" s="2" t="s">
        <v>275</v>
      </c>
      <c r="F38" s="2" t="s">
        <v>15</v>
      </c>
      <c r="G38" s="3" t="s">
        <v>16</v>
      </c>
      <c r="H38" s="2"/>
      <c r="I38" s="4"/>
      <c r="J38" s="2"/>
      <c r="K38" s="2"/>
    </row>
    <row r="39" spans="1:11" ht="28.8" x14ac:dyDescent="0.3">
      <c r="A39" s="2"/>
      <c r="B39" s="2" t="s">
        <v>276</v>
      </c>
      <c r="C39" s="2" t="s">
        <v>45</v>
      </c>
      <c r="D39" s="2" t="s">
        <v>277</v>
      </c>
      <c r="E39" s="2" t="s">
        <v>278</v>
      </c>
      <c r="F39" s="2" t="s">
        <v>52</v>
      </c>
      <c r="G39" s="3" t="s">
        <v>133</v>
      </c>
      <c r="H39" s="2"/>
      <c r="I39" s="4"/>
      <c r="J39" s="2"/>
      <c r="K39" s="2"/>
    </row>
    <row r="40" spans="1:11" ht="28.8" x14ac:dyDescent="0.3">
      <c r="A40" s="2" t="s">
        <v>122</v>
      </c>
      <c r="B40" s="2" t="s">
        <v>123</v>
      </c>
      <c r="C40" s="2" t="s">
        <v>45</v>
      </c>
      <c r="D40" s="2" t="s">
        <v>270</v>
      </c>
      <c r="E40" s="2" t="s">
        <v>271</v>
      </c>
      <c r="F40" s="2" t="s">
        <v>15</v>
      </c>
      <c r="G40" s="3" t="s">
        <v>16</v>
      </c>
      <c r="H40" s="2">
        <v>1</v>
      </c>
      <c r="I40" s="4">
        <v>0</v>
      </c>
      <c r="J40" s="2"/>
      <c r="K40" s="2"/>
    </row>
    <row r="41" spans="1:11" ht="28.8" x14ac:dyDescent="0.3">
      <c r="A41" s="2" t="s">
        <v>124</v>
      </c>
      <c r="B41" s="2" t="s">
        <v>123</v>
      </c>
      <c r="C41" s="2" t="s">
        <v>45</v>
      </c>
      <c r="D41" s="2" t="s">
        <v>125</v>
      </c>
      <c r="E41" s="2" t="s">
        <v>126</v>
      </c>
      <c r="F41" s="2" t="s">
        <v>15</v>
      </c>
      <c r="G41" s="3" t="s">
        <v>16</v>
      </c>
      <c r="H41" s="2">
        <v>1</v>
      </c>
      <c r="I41" s="4">
        <v>0</v>
      </c>
      <c r="J41" s="2"/>
      <c r="K41" s="2"/>
    </row>
    <row r="42" spans="1:11" x14ac:dyDescent="0.3">
      <c r="A42" s="2" t="s">
        <v>127</v>
      </c>
      <c r="B42" s="2" t="s">
        <v>123</v>
      </c>
      <c r="C42" s="2" t="s">
        <v>45</v>
      </c>
      <c r="D42" s="2" t="s">
        <v>128</v>
      </c>
      <c r="E42" s="2" t="s">
        <v>272</v>
      </c>
      <c r="F42" s="2" t="s">
        <v>48</v>
      </c>
      <c r="G42" s="3" t="s">
        <v>16</v>
      </c>
      <c r="H42" s="2">
        <v>1</v>
      </c>
      <c r="I42" s="4">
        <v>0</v>
      </c>
      <c r="J42" s="2"/>
      <c r="K42" s="2"/>
    </row>
    <row r="43" spans="1:11" x14ac:dyDescent="0.3">
      <c r="A43" s="2" t="s">
        <v>129</v>
      </c>
      <c r="B43" s="2" t="s">
        <v>123</v>
      </c>
      <c r="C43" s="2" t="s">
        <v>45</v>
      </c>
      <c r="D43" s="2" t="s">
        <v>279</v>
      </c>
      <c r="E43" s="2" t="s">
        <v>273</v>
      </c>
      <c r="F43" s="2" t="s">
        <v>52</v>
      </c>
      <c r="G43" s="5" t="s">
        <v>53</v>
      </c>
      <c r="H43" s="2">
        <v>2</v>
      </c>
      <c r="I43" s="4">
        <v>0</v>
      </c>
      <c r="J43" s="2"/>
      <c r="K43" s="2"/>
    </row>
    <row r="44" spans="1:11" ht="28.8" x14ac:dyDescent="0.3">
      <c r="A44" s="2" t="s">
        <v>130</v>
      </c>
      <c r="B44" s="2" t="s">
        <v>123</v>
      </c>
      <c r="C44" s="2" t="s">
        <v>45</v>
      </c>
      <c r="D44" s="2" t="s">
        <v>131</v>
      </c>
      <c r="E44" s="2" t="s">
        <v>132</v>
      </c>
      <c r="F44" s="2" t="s">
        <v>48</v>
      </c>
      <c r="G44" s="6" t="s">
        <v>133</v>
      </c>
      <c r="H44" s="2">
        <v>3</v>
      </c>
      <c r="I44" s="4">
        <v>0</v>
      </c>
      <c r="J44" s="2"/>
      <c r="K44" s="2"/>
    </row>
    <row r="45" spans="1:11" x14ac:dyDescent="0.3">
      <c r="A45" s="2" t="s">
        <v>134</v>
      </c>
      <c r="B45" s="2" t="s">
        <v>283</v>
      </c>
      <c r="C45" s="2" t="s">
        <v>45</v>
      </c>
      <c r="D45" s="2" t="s">
        <v>284</v>
      </c>
      <c r="E45" s="2" t="s">
        <v>285</v>
      </c>
      <c r="F45" s="2" t="s">
        <v>15</v>
      </c>
      <c r="G45" s="3" t="s">
        <v>16</v>
      </c>
      <c r="H45" s="2">
        <v>1</v>
      </c>
      <c r="I45" s="4">
        <v>0</v>
      </c>
      <c r="J45" s="2"/>
      <c r="K45" s="2"/>
    </row>
    <row r="46" spans="1:11" ht="28.8" x14ac:dyDescent="0.3">
      <c r="A46" s="2" t="s">
        <v>136</v>
      </c>
      <c r="B46" s="2" t="s">
        <v>286</v>
      </c>
      <c r="C46" s="2" t="s">
        <v>45</v>
      </c>
      <c r="D46" s="2" t="s">
        <v>284</v>
      </c>
      <c r="E46" s="2" t="s">
        <v>285</v>
      </c>
      <c r="F46" s="2" t="s">
        <v>15</v>
      </c>
      <c r="G46" s="3" t="s">
        <v>16</v>
      </c>
      <c r="H46" s="2">
        <v>1</v>
      </c>
      <c r="I46" s="4">
        <v>0</v>
      </c>
      <c r="J46" s="2"/>
      <c r="K46" s="2"/>
    </row>
    <row r="47" spans="1:11" ht="28.8" x14ac:dyDescent="0.3">
      <c r="A47" s="2" t="s">
        <v>137</v>
      </c>
      <c r="B47" s="2" t="s">
        <v>287</v>
      </c>
      <c r="C47" s="2" t="s">
        <v>45</v>
      </c>
      <c r="D47" s="2" t="s">
        <v>284</v>
      </c>
      <c r="E47" s="2" t="s">
        <v>285</v>
      </c>
      <c r="F47" s="2" t="s">
        <v>15</v>
      </c>
      <c r="G47" s="5" t="s">
        <v>16</v>
      </c>
      <c r="H47" s="2">
        <v>2</v>
      </c>
      <c r="I47" s="4">
        <v>0</v>
      </c>
      <c r="J47" s="2"/>
      <c r="K47" s="2"/>
    </row>
    <row r="48" spans="1:11" x14ac:dyDescent="0.3">
      <c r="A48" s="2"/>
      <c r="B48" s="2" t="s">
        <v>288</v>
      </c>
      <c r="C48" s="2" t="s">
        <v>45</v>
      </c>
      <c r="D48" s="2" t="s">
        <v>284</v>
      </c>
      <c r="E48" s="2" t="s">
        <v>285</v>
      </c>
      <c r="F48" s="2" t="s">
        <v>15</v>
      </c>
      <c r="G48" s="5" t="s">
        <v>16</v>
      </c>
      <c r="H48" s="2"/>
      <c r="I48" s="4"/>
      <c r="J48" s="2"/>
      <c r="K48" s="2"/>
    </row>
    <row r="49" spans="1:11" x14ac:dyDescent="0.3">
      <c r="A49" s="2" t="s">
        <v>138</v>
      </c>
      <c r="B49" s="2" t="s">
        <v>139</v>
      </c>
      <c r="C49" s="2" t="s">
        <v>45</v>
      </c>
      <c r="D49" s="2" t="s">
        <v>140</v>
      </c>
      <c r="E49" s="2" t="s">
        <v>141</v>
      </c>
      <c r="F49" s="2" t="s">
        <v>15</v>
      </c>
      <c r="G49" s="3" t="s">
        <v>16</v>
      </c>
      <c r="H49" s="2">
        <v>1</v>
      </c>
      <c r="I49" s="4">
        <v>0</v>
      </c>
      <c r="J49" s="2"/>
      <c r="K49" s="2"/>
    </row>
    <row r="50" spans="1:11" x14ac:dyDescent="0.3">
      <c r="A50" s="2" t="s">
        <v>142</v>
      </c>
      <c r="B50" s="2" t="s">
        <v>139</v>
      </c>
      <c r="C50" s="2" t="s">
        <v>45</v>
      </c>
      <c r="D50" s="2" t="s">
        <v>143</v>
      </c>
      <c r="E50" s="2" t="s">
        <v>144</v>
      </c>
      <c r="F50" s="2" t="s">
        <v>15</v>
      </c>
      <c r="G50" s="3" t="s">
        <v>16</v>
      </c>
      <c r="H50" s="2">
        <v>1</v>
      </c>
      <c r="I50" s="4">
        <v>0</v>
      </c>
      <c r="J50" s="2"/>
      <c r="K50" s="2"/>
    </row>
    <row r="51" spans="1:11" x14ac:dyDescent="0.3">
      <c r="A51" s="2" t="s">
        <v>145</v>
      </c>
      <c r="B51" s="2" t="s">
        <v>139</v>
      </c>
      <c r="C51" s="2" t="s">
        <v>45</v>
      </c>
      <c r="D51" s="2" t="s">
        <v>146</v>
      </c>
      <c r="E51" s="2" t="s">
        <v>147</v>
      </c>
      <c r="F51" s="2" t="s">
        <v>15</v>
      </c>
      <c r="G51" s="3" t="s">
        <v>16</v>
      </c>
      <c r="H51" s="2">
        <v>1</v>
      </c>
      <c r="I51" s="4">
        <v>0</v>
      </c>
      <c r="J51" s="2"/>
      <c r="K51" s="2"/>
    </row>
    <row r="52" spans="1:11" ht="28.8" x14ac:dyDescent="0.3">
      <c r="A52" s="2" t="s">
        <v>148</v>
      </c>
      <c r="B52" s="2" t="s">
        <v>139</v>
      </c>
      <c r="C52" s="2" t="s">
        <v>45</v>
      </c>
      <c r="D52" s="2" t="s">
        <v>149</v>
      </c>
      <c r="E52" s="2" t="s">
        <v>150</v>
      </c>
      <c r="F52" s="2" t="s">
        <v>105</v>
      </c>
      <c r="G52" s="3" t="s">
        <v>16</v>
      </c>
      <c r="H52" s="2">
        <v>1</v>
      </c>
      <c r="I52" s="4">
        <v>0</v>
      </c>
      <c r="J52" s="2"/>
      <c r="K52" s="2"/>
    </row>
    <row r="53" spans="1:11" x14ac:dyDescent="0.3">
      <c r="A53" s="2" t="s">
        <v>151</v>
      </c>
      <c r="B53" s="2" t="s">
        <v>139</v>
      </c>
      <c r="C53" s="2" t="s">
        <v>45</v>
      </c>
      <c r="D53" s="2" t="s">
        <v>152</v>
      </c>
      <c r="E53" s="2" t="s">
        <v>153</v>
      </c>
      <c r="F53" s="2" t="s">
        <v>105</v>
      </c>
      <c r="G53" s="3" t="s">
        <v>16</v>
      </c>
      <c r="H53" s="2">
        <v>1</v>
      </c>
      <c r="I53" s="4">
        <v>0</v>
      </c>
      <c r="J53" s="2"/>
      <c r="K53" s="2"/>
    </row>
    <row r="54" spans="1:11" ht="28.8" x14ac:dyDescent="0.3">
      <c r="A54" s="2" t="s">
        <v>154</v>
      </c>
      <c r="B54" s="2" t="s">
        <v>139</v>
      </c>
      <c r="C54" s="2" t="s">
        <v>45</v>
      </c>
      <c r="D54" s="2" t="s">
        <v>155</v>
      </c>
      <c r="E54" s="2" t="s">
        <v>156</v>
      </c>
      <c r="F54" s="2" t="s">
        <v>52</v>
      </c>
      <c r="G54" s="5" t="s">
        <v>53</v>
      </c>
      <c r="H54" s="2">
        <v>2</v>
      </c>
      <c r="I54" s="4">
        <v>0</v>
      </c>
      <c r="J54" s="2"/>
      <c r="K54" s="2"/>
    </row>
    <row r="55" spans="1:11" x14ac:dyDescent="0.3">
      <c r="A55" s="2"/>
      <c r="B55" s="2" t="s">
        <v>289</v>
      </c>
      <c r="C55" s="2" t="s">
        <v>45</v>
      </c>
      <c r="D55" s="2" t="s">
        <v>290</v>
      </c>
      <c r="E55" s="2" t="s">
        <v>291</v>
      </c>
      <c r="F55" s="2" t="s">
        <v>15</v>
      </c>
      <c r="G55" s="3" t="s">
        <v>16</v>
      </c>
      <c r="H55" s="2"/>
      <c r="I55" s="4"/>
      <c r="J55" s="2"/>
      <c r="K55" s="2"/>
    </row>
    <row r="56" spans="1:11" x14ac:dyDescent="0.3">
      <c r="A56" s="2" t="s">
        <v>157</v>
      </c>
      <c r="B56" s="2" t="s">
        <v>158</v>
      </c>
      <c r="C56" s="2" t="s">
        <v>45</v>
      </c>
      <c r="D56" s="2" t="s">
        <v>159</v>
      </c>
      <c r="E56" s="2" t="s">
        <v>160</v>
      </c>
      <c r="F56" s="2" t="s">
        <v>15</v>
      </c>
      <c r="G56" s="3" t="s">
        <v>16</v>
      </c>
      <c r="H56" s="2">
        <v>1</v>
      </c>
      <c r="I56" s="4">
        <v>0</v>
      </c>
      <c r="J56" s="2"/>
      <c r="K56" s="2"/>
    </row>
    <row r="57" spans="1:11" x14ac:dyDescent="0.3">
      <c r="A57" s="2" t="s">
        <v>161</v>
      </c>
      <c r="B57" s="2" t="s">
        <v>158</v>
      </c>
      <c r="C57" s="2" t="s">
        <v>45</v>
      </c>
      <c r="D57" s="2" t="s">
        <v>162</v>
      </c>
      <c r="E57" s="2" t="s">
        <v>163</v>
      </c>
      <c r="F57" s="2" t="s">
        <v>15</v>
      </c>
      <c r="G57" s="3" t="s">
        <v>16</v>
      </c>
      <c r="H57" s="2">
        <v>1</v>
      </c>
      <c r="I57" s="4">
        <v>0</v>
      </c>
      <c r="J57" s="2"/>
      <c r="K57" s="2"/>
    </row>
    <row r="58" spans="1:11" x14ac:dyDescent="0.3">
      <c r="A58" s="2" t="s">
        <v>164</v>
      </c>
      <c r="B58" s="2" t="s">
        <v>158</v>
      </c>
      <c r="C58" s="2" t="s">
        <v>45</v>
      </c>
      <c r="D58" s="2" t="s">
        <v>165</v>
      </c>
      <c r="E58" s="2" t="s">
        <v>166</v>
      </c>
      <c r="F58" s="2" t="s">
        <v>15</v>
      </c>
      <c r="G58" s="5" t="s">
        <v>53</v>
      </c>
      <c r="H58" s="2">
        <v>2</v>
      </c>
      <c r="I58" s="4">
        <v>0</v>
      </c>
      <c r="J58" s="2"/>
      <c r="K58" s="2"/>
    </row>
    <row r="59" spans="1:11" x14ac:dyDescent="0.3">
      <c r="A59" s="2" t="s">
        <v>167</v>
      </c>
      <c r="B59" s="2" t="s">
        <v>158</v>
      </c>
      <c r="C59" s="2" t="s">
        <v>45</v>
      </c>
      <c r="D59" s="2" t="s">
        <v>168</v>
      </c>
      <c r="E59" s="2" t="s">
        <v>169</v>
      </c>
      <c r="F59" s="2" t="s">
        <v>52</v>
      </c>
      <c r="G59" s="5" t="s">
        <v>53</v>
      </c>
      <c r="H59" s="2">
        <v>2</v>
      </c>
      <c r="I59" s="4">
        <v>0</v>
      </c>
      <c r="J59" s="2"/>
      <c r="K59" s="2"/>
    </row>
    <row r="60" spans="1:11" ht="28.8" x14ac:dyDescent="0.3">
      <c r="A60" s="2" t="s">
        <v>170</v>
      </c>
      <c r="B60" s="2" t="s">
        <v>158</v>
      </c>
      <c r="C60" s="2" t="s">
        <v>45</v>
      </c>
      <c r="D60" s="2" t="s">
        <v>171</v>
      </c>
      <c r="E60" s="2" t="s">
        <v>172</v>
      </c>
      <c r="F60" s="2" t="s">
        <v>15</v>
      </c>
      <c r="G60" s="3" t="s">
        <v>16</v>
      </c>
      <c r="H60" s="2">
        <v>1</v>
      </c>
      <c r="I60" s="4">
        <v>0</v>
      </c>
      <c r="J60" s="2"/>
      <c r="K60" s="2"/>
    </row>
    <row r="61" spans="1:11" x14ac:dyDescent="0.3">
      <c r="A61" s="2" t="s">
        <v>173</v>
      </c>
      <c r="B61" s="2" t="s">
        <v>174</v>
      </c>
      <c r="C61" s="2" t="s">
        <v>45</v>
      </c>
      <c r="D61" s="2" t="s">
        <v>175</v>
      </c>
      <c r="E61" s="2" t="s">
        <v>176</v>
      </c>
      <c r="F61" s="2" t="s">
        <v>15</v>
      </c>
      <c r="G61" s="3" t="s">
        <v>16</v>
      </c>
      <c r="H61" s="2">
        <v>1</v>
      </c>
      <c r="I61" s="4">
        <v>0</v>
      </c>
      <c r="J61" s="2"/>
      <c r="K61" s="2"/>
    </row>
    <row r="62" spans="1:11" x14ac:dyDescent="0.3">
      <c r="A62" s="2" t="s">
        <v>177</v>
      </c>
      <c r="B62" s="2" t="s">
        <v>174</v>
      </c>
      <c r="C62" s="2" t="s">
        <v>45</v>
      </c>
      <c r="D62" s="2" t="s">
        <v>178</v>
      </c>
      <c r="E62" s="2" t="s">
        <v>179</v>
      </c>
      <c r="F62" s="2" t="s">
        <v>15</v>
      </c>
      <c r="G62" s="5" t="s">
        <v>53</v>
      </c>
      <c r="H62" s="2">
        <v>2</v>
      </c>
      <c r="I62" s="4">
        <v>0</v>
      </c>
      <c r="J62" s="2"/>
      <c r="K62" s="2"/>
    </row>
    <row r="63" spans="1:11" x14ac:dyDescent="0.3">
      <c r="A63" s="2" t="s">
        <v>180</v>
      </c>
      <c r="B63" s="2" t="s">
        <v>174</v>
      </c>
      <c r="C63" s="2" t="s">
        <v>45</v>
      </c>
      <c r="D63" s="2" t="s">
        <v>181</v>
      </c>
      <c r="E63" s="2" t="s">
        <v>182</v>
      </c>
      <c r="F63" s="2" t="s">
        <v>15</v>
      </c>
      <c r="G63" s="5" t="s">
        <v>53</v>
      </c>
      <c r="H63" s="2">
        <v>2</v>
      </c>
      <c r="I63" s="4">
        <v>0</v>
      </c>
      <c r="J63" s="2"/>
      <c r="K63" s="2"/>
    </row>
    <row r="64" spans="1:11" x14ac:dyDescent="0.3">
      <c r="A64" s="2" t="s">
        <v>183</v>
      </c>
      <c r="B64" s="2" t="s">
        <v>174</v>
      </c>
      <c r="C64" s="2" t="s">
        <v>45</v>
      </c>
      <c r="D64" s="2" t="s">
        <v>184</v>
      </c>
      <c r="E64" s="2" t="s">
        <v>185</v>
      </c>
      <c r="F64" s="2" t="s">
        <v>52</v>
      </c>
      <c r="G64" s="6" t="s">
        <v>133</v>
      </c>
      <c r="H64" s="2">
        <v>3</v>
      </c>
      <c r="I64" s="4">
        <v>0</v>
      </c>
      <c r="J64" s="2"/>
      <c r="K64" s="2"/>
    </row>
    <row r="65" spans="1:11" x14ac:dyDescent="0.3">
      <c r="A65" s="2" t="s">
        <v>186</v>
      </c>
      <c r="B65" s="2" t="s">
        <v>187</v>
      </c>
      <c r="C65" s="2" t="s">
        <v>45</v>
      </c>
      <c r="D65" s="2" t="s">
        <v>188</v>
      </c>
      <c r="E65" s="2" t="s">
        <v>189</v>
      </c>
      <c r="F65" s="2" t="s">
        <v>15</v>
      </c>
      <c r="G65" s="3" t="s">
        <v>16</v>
      </c>
      <c r="H65" s="2">
        <v>1</v>
      </c>
      <c r="I65" s="4">
        <v>0</v>
      </c>
      <c r="J65" s="2"/>
      <c r="K65" s="2"/>
    </row>
    <row r="66" spans="1:11" x14ac:dyDescent="0.3">
      <c r="A66" s="2" t="s">
        <v>190</v>
      </c>
      <c r="B66" s="2" t="s">
        <v>187</v>
      </c>
      <c r="C66" s="2" t="s">
        <v>45</v>
      </c>
      <c r="D66" s="2" t="s">
        <v>191</v>
      </c>
      <c r="E66" s="2" t="s">
        <v>192</v>
      </c>
      <c r="F66" s="2" t="s">
        <v>15</v>
      </c>
      <c r="G66" s="3" t="s">
        <v>16</v>
      </c>
      <c r="H66" s="2">
        <v>1</v>
      </c>
      <c r="I66" s="4">
        <v>0</v>
      </c>
      <c r="J66" s="2"/>
      <c r="K66" s="2"/>
    </row>
    <row r="67" spans="1:11" x14ac:dyDescent="0.3">
      <c r="A67" s="2" t="s">
        <v>193</v>
      </c>
      <c r="B67" s="2" t="s">
        <v>187</v>
      </c>
      <c r="C67" s="2" t="s">
        <v>45</v>
      </c>
      <c r="D67" s="2" t="s">
        <v>194</v>
      </c>
      <c r="E67" s="2" t="s">
        <v>195</v>
      </c>
      <c r="F67" s="2" t="s">
        <v>15</v>
      </c>
      <c r="G67" s="3" t="s">
        <v>16</v>
      </c>
      <c r="H67" s="2">
        <v>1</v>
      </c>
      <c r="I67" s="4">
        <v>0</v>
      </c>
      <c r="J67" s="2"/>
      <c r="K67" s="2"/>
    </row>
    <row r="68" spans="1:11" x14ac:dyDescent="0.3">
      <c r="A68" s="2" t="s">
        <v>196</v>
      </c>
      <c r="B68" s="2" t="s">
        <v>187</v>
      </c>
      <c r="C68" s="2" t="s">
        <v>45</v>
      </c>
      <c r="D68" s="2" t="s">
        <v>197</v>
      </c>
      <c r="E68" s="2" t="s">
        <v>198</v>
      </c>
      <c r="F68" s="2" t="s">
        <v>48</v>
      </c>
      <c r="G68" s="3" t="s">
        <v>16</v>
      </c>
      <c r="H68" s="2">
        <v>1</v>
      </c>
      <c r="I68" s="4">
        <v>0</v>
      </c>
      <c r="J68" s="2"/>
      <c r="K68" s="2"/>
    </row>
    <row r="69" spans="1:11" x14ac:dyDescent="0.3">
      <c r="A69" s="2" t="s">
        <v>199</v>
      </c>
      <c r="B69" s="2" t="s">
        <v>187</v>
      </c>
      <c r="C69" s="2" t="s">
        <v>45</v>
      </c>
      <c r="D69" s="2" t="s">
        <v>200</v>
      </c>
      <c r="E69" s="2" t="s">
        <v>201</v>
      </c>
      <c r="F69" s="2" t="s">
        <v>52</v>
      </c>
      <c r="G69" s="5" t="s">
        <v>53</v>
      </c>
      <c r="H69" s="2">
        <v>2</v>
      </c>
      <c r="I69" s="4">
        <v>0</v>
      </c>
      <c r="J69" s="2"/>
      <c r="K69" s="2"/>
    </row>
    <row r="70" spans="1:11" x14ac:dyDescent="0.3">
      <c r="A70" s="2" t="s">
        <v>202</v>
      </c>
      <c r="B70" s="2" t="s">
        <v>187</v>
      </c>
      <c r="C70" s="2" t="s">
        <v>45</v>
      </c>
      <c r="D70" s="2" t="s">
        <v>203</v>
      </c>
      <c r="E70" s="2" t="s">
        <v>204</v>
      </c>
      <c r="F70" s="2" t="s">
        <v>15</v>
      </c>
      <c r="G70" s="3" t="s">
        <v>16</v>
      </c>
      <c r="H70" s="2">
        <v>1</v>
      </c>
      <c r="I70" s="4">
        <v>0</v>
      </c>
      <c r="J70" s="2"/>
      <c r="K70" s="2"/>
    </row>
    <row r="71" spans="1:11" x14ac:dyDescent="0.3">
      <c r="A71" s="2" t="s">
        <v>205</v>
      </c>
      <c r="B71" s="2" t="s">
        <v>280</v>
      </c>
      <c r="C71" s="2" t="s">
        <v>282</v>
      </c>
      <c r="D71" s="2" t="s">
        <v>207</v>
      </c>
      <c r="E71" s="2" t="s">
        <v>208</v>
      </c>
      <c r="F71" s="2" t="s">
        <v>15</v>
      </c>
      <c r="G71" s="5" t="s">
        <v>53</v>
      </c>
      <c r="H71" s="2">
        <v>2</v>
      </c>
      <c r="I71" s="4">
        <v>0</v>
      </c>
      <c r="J71" s="2"/>
      <c r="K71" s="2"/>
    </row>
    <row r="72" spans="1:11" x14ac:dyDescent="0.3">
      <c r="A72" s="2" t="s">
        <v>209</v>
      </c>
      <c r="B72" s="2" t="s">
        <v>281</v>
      </c>
      <c r="C72" s="2" t="s">
        <v>282</v>
      </c>
      <c r="D72" s="2" t="s">
        <v>210</v>
      </c>
      <c r="E72" s="2" t="s">
        <v>211</v>
      </c>
      <c r="F72" s="2" t="s">
        <v>15</v>
      </c>
      <c r="G72" s="5" t="s">
        <v>53</v>
      </c>
      <c r="H72" s="2">
        <v>2</v>
      </c>
      <c r="I72" s="4">
        <v>0</v>
      </c>
      <c r="J72" s="2"/>
      <c r="K72" s="2"/>
    </row>
    <row r="73" spans="1:11" x14ac:dyDescent="0.3">
      <c r="A73" s="2" t="s">
        <v>212</v>
      </c>
      <c r="B73" s="2" t="s">
        <v>280</v>
      </c>
      <c r="C73" s="2" t="s">
        <v>282</v>
      </c>
      <c r="D73" s="2" t="s">
        <v>213</v>
      </c>
      <c r="E73" s="2" t="s">
        <v>214</v>
      </c>
      <c r="F73" s="2" t="s">
        <v>15</v>
      </c>
      <c r="G73" s="3" t="s">
        <v>16</v>
      </c>
      <c r="H73" s="2">
        <v>1</v>
      </c>
      <c r="I73" s="4">
        <v>0</v>
      </c>
      <c r="J73" s="2"/>
      <c r="K73" s="2"/>
    </row>
    <row r="74" spans="1:11" ht="28.8" x14ac:dyDescent="0.3">
      <c r="A74" s="2" t="s">
        <v>215</v>
      </c>
      <c r="B74" s="2" t="s">
        <v>280</v>
      </c>
      <c r="C74" s="2" t="s">
        <v>282</v>
      </c>
      <c r="D74" s="2" t="s">
        <v>216</v>
      </c>
      <c r="E74" s="2" t="s">
        <v>217</v>
      </c>
      <c r="F74" s="2" t="s">
        <v>52</v>
      </c>
      <c r="G74" s="3" t="s">
        <v>16</v>
      </c>
      <c r="H74" s="2">
        <v>1</v>
      </c>
      <c r="I74" s="4">
        <v>0</v>
      </c>
      <c r="J74" s="2"/>
      <c r="K74" s="2"/>
    </row>
    <row r="75" spans="1:11" x14ac:dyDescent="0.3">
      <c r="A75" s="2" t="s">
        <v>219</v>
      </c>
      <c r="B75" s="2" t="s">
        <v>220</v>
      </c>
      <c r="C75" s="2" t="s">
        <v>45</v>
      </c>
      <c r="D75" s="2" t="s">
        <v>221</v>
      </c>
      <c r="E75" s="2" t="s">
        <v>222</v>
      </c>
      <c r="F75" s="2" t="s">
        <v>105</v>
      </c>
      <c r="G75" s="3" t="s">
        <v>16</v>
      </c>
      <c r="H75" s="2">
        <v>1</v>
      </c>
      <c r="I75" s="4">
        <v>0</v>
      </c>
      <c r="J75" s="2"/>
      <c r="K75" s="2"/>
    </row>
    <row r="76" spans="1:11" x14ac:dyDescent="0.3">
      <c r="A76" s="2" t="s">
        <v>223</v>
      </c>
      <c r="B76" s="2" t="s">
        <v>220</v>
      </c>
      <c r="C76" s="2" t="s">
        <v>45</v>
      </c>
      <c r="D76" s="2" t="s">
        <v>224</v>
      </c>
      <c r="E76" s="2" t="s">
        <v>225</v>
      </c>
      <c r="F76" s="2" t="s">
        <v>105</v>
      </c>
      <c r="G76" s="3" t="s">
        <v>16</v>
      </c>
      <c r="H76" s="2">
        <v>1</v>
      </c>
      <c r="I76" s="4">
        <v>0</v>
      </c>
      <c r="J76" s="2"/>
      <c r="K76" s="2"/>
    </row>
    <row r="77" spans="1:11" ht="28.8" x14ac:dyDescent="0.3">
      <c r="A77" s="2" t="s">
        <v>226</v>
      </c>
      <c r="B77" s="2" t="s">
        <v>220</v>
      </c>
      <c r="C77" s="2" t="s">
        <v>45</v>
      </c>
      <c r="D77" s="2" t="s">
        <v>227</v>
      </c>
      <c r="E77" s="2" t="s">
        <v>228</v>
      </c>
      <c r="F77" s="2" t="s">
        <v>52</v>
      </c>
      <c r="G77" s="3" t="s">
        <v>16</v>
      </c>
      <c r="H77" s="2">
        <v>1</v>
      </c>
      <c r="I77" s="4">
        <v>0</v>
      </c>
      <c r="J77" s="2"/>
      <c r="K77" s="2"/>
    </row>
    <row r="78" spans="1:11" ht="28.8" x14ac:dyDescent="0.3">
      <c r="A78" s="2" t="s">
        <v>229</v>
      </c>
      <c r="B78" s="2" t="s">
        <v>220</v>
      </c>
      <c r="C78" s="2" t="s">
        <v>45</v>
      </c>
      <c r="D78" s="2" t="s">
        <v>230</v>
      </c>
      <c r="E78" s="2" t="s">
        <v>231</v>
      </c>
      <c r="F78" s="2" t="s">
        <v>105</v>
      </c>
      <c r="G78" s="3" t="s">
        <v>16</v>
      </c>
      <c r="H78" s="2">
        <v>1</v>
      </c>
      <c r="I78" s="4">
        <v>0</v>
      </c>
      <c r="J78" s="2"/>
      <c r="K78" s="2"/>
    </row>
  </sheetData>
  <autoFilter ref="A1:K78" xr:uid="{00000000-0009-0000-0000-000000000000}"/>
  <conditionalFormatting sqref="I2:I78">
    <cfRule type="colorScale" priority="1">
      <colorScale>
        <cfvo type="num" val="0"/>
        <cfvo type="num" val="50"/>
        <cfvo type="num" val="100"/>
        <color rgb="FFF4CCCC"/>
        <color rgb="FFFCE5CD"/>
        <color rgb="FFD9EAD3"/>
      </colorScale>
    </cfRule>
  </conditionalFormatting>
  <dataValidations count="3">
    <dataValidation type="list" sqref="I2:I78" xr:uid="{00000000-0002-0000-0000-000000000000}">
      <formula1>"0,25,50,75,100"</formula1>
    </dataValidation>
    <dataValidation type="list" sqref="G2:G78" xr:uid="{00000000-0002-0000-0000-000001000000}">
      <formula1>"Alta,Media,Baja"</formula1>
    </dataValidation>
    <dataValidation type="list" sqref="F2:F78" xr:uid="{00000000-0002-0000-0000-000002000000}">
      <formula1>"Happy Path,Negativo,Validación,Regresión"</formula1>
    </dataValidation>
  </dataValidations>
  <pageMargins left="0.75" right="0.75" top="1" bottom="1" header="0.5" footer="0.5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3"/>
  <sheetViews>
    <sheetView showGridLines="0" workbookViewId="0">
      <pane xSplit="1" ySplit="6" topLeftCell="B7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3" customWidth="1"/>
    <col min="2" max="2" width="30" customWidth="1"/>
    <col min="3" max="3" width="15" customWidth="1"/>
    <col min="4" max="4" width="18" customWidth="1"/>
    <col min="5" max="7" width="3" customWidth="1"/>
    <col min="8" max="9" width="18" customWidth="1"/>
    <col min="10" max="10" width="3" customWidth="1"/>
  </cols>
  <sheetData>
    <row r="1" spans="1:10" x14ac:dyDescent="0.3">
      <c r="A1" s="7"/>
      <c r="B1" s="7"/>
      <c r="C1" s="7"/>
      <c r="D1" s="7"/>
      <c r="E1" s="7"/>
      <c r="F1" s="7"/>
      <c r="G1" s="7"/>
      <c r="H1" s="7"/>
      <c r="I1" s="7"/>
      <c r="J1" s="7"/>
    </row>
    <row r="2" spans="1:10" x14ac:dyDescent="0.3">
      <c r="A2" s="7"/>
      <c r="B2" s="15" t="s">
        <v>232</v>
      </c>
      <c r="C2" s="16"/>
      <c r="D2" s="16"/>
      <c r="E2" s="16"/>
      <c r="F2" s="16"/>
      <c r="G2" s="16"/>
      <c r="H2" s="16"/>
      <c r="I2" s="16"/>
      <c r="J2" s="16"/>
    </row>
    <row r="3" spans="1:10" x14ac:dyDescent="0.3">
      <c r="A3" s="7"/>
      <c r="B3" s="16"/>
      <c r="C3" s="16"/>
      <c r="D3" s="16"/>
      <c r="E3" s="16"/>
      <c r="F3" s="16"/>
      <c r="G3" s="16"/>
      <c r="H3" s="16"/>
      <c r="I3" s="16"/>
      <c r="J3" s="16"/>
    </row>
    <row r="4" spans="1:10" x14ac:dyDescent="0.3">
      <c r="A4" s="7"/>
      <c r="B4" s="7"/>
      <c r="C4" s="7"/>
      <c r="D4" s="7"/>
      <c r="E4" s="7"/>
      <c r="F4" s="7"/>
      <c r="G4" s="7"/>
      <c r="H4" s="7"/>
      <c r="I4" s="7"/>
      <c r="J4" s="7"/>
    </row>
    <row r="5" spans="1:10" ht="21" x14ac:dyDescent="0.3">
      <c r="A5" s="7"/>
      <c r="B5" s="8" t="s">
        <v>233</v>
      </c>
      <c r="C5" s="7"/>
      <c r="D5" s="7"/>
      <c r="E5" s="7"/>
      <c r="F5" s="7"/>
      <c r="G5" s="7"/>
      <c r="H5" s="7"/>
      <c r="I5" s="7"/>
      <c r="J5" s="7"/>
    </row>
    <row r="6" spans="1:10" x14ac:dyDescent="0.3">
      <c r="A6" s="7"/>
      <c r="B6" s="7"/>
      <c r="C6" s="7"/>
      <c r="D6" s="7"/>
      <c r="E6" s="7"/>
      <c r="F6" s="7"/>
      <c r="G6" s="7"/>
      <c r="H6" s="7"/>
      <c r="I6" s="7"/>
      <c r="J6" s="7"/>
    </row>
    <row r="7" spans="1:10" x14ac:dyDescent="0.3">
      <c r="A7" s="7"/>
      <c r="B7" s="17" t="s">
        <v>234</v>
      </c>
      <c r="C7" s="18"/>
      <c r="D7" s="7"/>
      <c r="E7" s="17" t="s">
        <v>235</v>
      </c>
      <c r="F7" s="18"/>
      <c r="G7" s="7"/>
      <c r="H7" s="17" t="s">
        <v>236</v>
      </c>
      <c r="I7" s="18"/>
      <c r="J7" s="7"/>
    </row>
    <row r="8" spans="1:10" ht="30" customHeight="1" x14ac:dyDescent="0.3">
      <c r="A8" s="7"/>
      <c r="B8" s="20">
        <f>COUNTA('Roadmap QA Automation'!A2:A1998)</f>
        <v>73</v>
      </c>
      <c r="C8" s="18"/>
      <c r="D8" s="7"/>
      <c r="E8" s="19">
        <f>IFERROR(AVERAGE('Roadmap QA Automation'!I2:I1998)/100,0)</f>
        <v>0</v>
      </c>
      <c r="F8" s="18"/>
      <c r="G8" s="7"/>
      <c r="H8" s="19">
        <f>COUNTIF('Roadmap QA Automation'!I2:I1998,100)</f>
        <v>0</v>
      </c>
      <c r="I8" s="18"/>
      <c r="J8" s="7"/>
    </row>
    <row r="9" spans="1:10" x14ac:dyDescent="0.3">
      <c r="A9" s="7"/>
      <c r="B9" s="7"/>
      <c r="C9" s="7"/>
      <c r="D9" s="7"/>
      <c r="E9" s="7"/>
      <c r="F9" s="7"/>
      <c r="G9" s="7"/>
      <c r="H9" s="7"/>
      <c r="I9" s="7"/>
      <c r="J9" s="7"/>
    </row>
    <row r="10" spans="1:10" x14ac:dyDescent="0.3">
      <c r="A10" s="7"/>
      <c r="B10" s="7"/>
      <c r="C10" s="7"/>
      <c r="D10" s="7"/>
      <c r="E10" s="7"/>
      <c r="F10" s="7"/>
      <c r="G10" s="7"/>
      <c r="H10" s="7"/>
      <c r="I10" s="7"/>
      <c r="J10" s="7"/>
    </row>
    <row r="11" spans="1:10" x14ac:dyDescent="0.3">
      <c r="A11" s="7"/>
      <c r="B11" s="7"/>
      <c r="C11" s="7"/>
      <c r="D11" s="7"/>
      <c r="E11" s="7"/>
      <c r="F11" s="7"/>
      <c r="G11" s="7"/>
      <c r="H11" s="7"/>
      <c r="I11" s="7"/>
      <c r="J11" s="7"/>
    </row>
    <row r="12" spans="1:10" ht="18" x14ac:dyDescent="0.3">
      <c r="A12" s="7"/>
      <c r="B12" s="9" t="s">
        <v>237</v>
      </c>
      <c r="C12" s="7"/>
      <c r="D12" s="7"/>
      <c r="E12" s="7"/>
      <c r="F12" s="7"/>
      <c r="G12" s="7"/>
      <c r="H12" s="7"/>
      <c r="I12" s="7"/>
      <c r="J12" s="7"/>
    </row>
    <row r="13" spans="1:10" x14ac:dyDescent="0.3">
      <c r="A13" s="7"/>
      <c r="B13" s="10" t="s">
        <v>1</v>
      </c>
      <c r="C13" s="10" t="s">
        <v>238</v>
      </c>
      <c r="D13" s="10" t="s">
        <v>239</v>
      </c>
      <c r="E13" s="7"/>
      <c r="F13" s="7"/>
      <c r="G13" s="7"/>
      <c r="H13" s="7"/>
      <c r="I13" s="7"/>
      <c r="J13" s="7"/>
    </row>
    <row r="14" spans="1:10" x14ac:dyDescent="0.3">
      <c r="A14" s="7"/>
      <c r="B14" s="7" t="s">
        <v>12</v>
      </c>
      <c r="C14" s="7">
        <f>COUNTIF('Roadmap QA Automation'!B:B,B14)</f>
        <v>4</v>
      </c>
      <c r="D14" s="11">
        <f>IFERROR(AVERAGEIF('Roadmap QA Automation'!B:B,B14,'Roadmap QA Automation'!I:I)/100,0)</f>
        <v>0</v>
      </c>
      <c r="E14" s="7"/>
      <c r="F14" s="7"/>
      <c r="G14" s="7"/>
      <c r="H14" s="7"/>
      <c r="I14" s="7"/>
      <c r="J14" s="7"/>
    </row>
    <row r="15" spans="1:10" x14ac:dyDescent="0.3">
      <c r="A15" s="7"/>
      <c r="B15" s="7" t="s">
        <v>29</v>
      </c>
      <c r="C15" s="7">
        <f>COUNTIF('Roadmap QA Automation'!B:B,B15)</f>
        <v>0</v>
      </c>
      <c r="D15" s="11">
        <f>IFERROR(AVERAGEIF('Roadmap QA Automation'!B:B,B15,'Roadmap QA Automation'!I:I)/100,0)</f>
        <v>0</v>
      </c>
      <c r="E15" s="7"/>
      <c r="F15" s="7"/>
      <c r="G15" s="7"/>
      <c r="H15" s="7"/>
      <c r="I15" s="7"/>
      <c r="J15" s="7"/>
    </row>
    <row r="16" spans="1:10" x14ac:dyDescent="0.3">
      <c r="A16" s="7"/>
      <c r="B16" s="7" t="s">
        <v>55</v>
      </c>
      <c r="C16" s="7">
        <f>COUNTIF('Roadmap QA Automation'!B:B,B16)</f>
        <v>17</v>
      </c>
      <c r="D16" s="11">
        <f>IFERROR(AVERAGEIF('Roadmap QA Automation'!B:B,B16,'Roadmap QA Automation'!I:I)/100,0)</f>
        <v>0</v>
      </c>
      <c r="E16" s="7"/>
      <c r="F16" s="7"/>
      <c r="G16" s="7"/>
      <c r="H16" s="7"/>
      <c r="I16" s="7"/>
      <c r="J16" s="7"/>
    </row>
    <row r="17" spans="1:10" x14ac:dyDescent="0.3">
      <c r="A17" s="7"/>
      <c r="B17" s="7" t="s">
        <v>107</v>
      </c>
      <c r="C17" s="7">
        <f>COUNTIF('Roadmap QA Automation'!B:B,B17)</f>
        <v>5</v>
      </c>
      <c r="D17" s="11">
        <f>IFERROR(AVERAGEIF('Roadmap QA Automation'!B:B,B17,'Roadmap QA Automation'!I:I)/100,0)</f>
        <v>0</v>
      </c>
      <c r="E17" s="7"/>
      <c r="F17" s="7"/>
      <c r="G17" s="7"/>
      <c r="H17" s="7"/>
      <c r="I17" s="7"/>
      <c r="J17" s="7"/>
    </row>
    <row r="18" spans="1:10" x14ac:dyDescent="0.3">
      <c r="A18" s="7"/>
      <c r="B18" s="7" t="s">
        <v>123</v>
      </c>
      <c r="C18" s="7">
        <f>COUNTIF('Roadmap QA Automation'!B:B,B18)</f>
        <v>5</v>
      </c>
      <c r="D18" s="11">
        <f>IFERROR(AVERAGEIF('Roadmap QA Automation'!B:B,B18,'Roadmap QA Automation'!I:I)/100,0)</f>
        <v>0</v>
      </c>
      <c r="E18" s="7"/>
      <c r="F18" s="7"/>
      <c r="G18" s="7"/>
      <c r="H18" s="7"/>
      <c r="I18" s="7"/>
      <c r="J18" s="7"/>
    </row>
    <row r="19" spans="1:10" x14ac:dyDescent="0.3">
      <c r="A19" s="7"/>
      <c r="B19" s="7" t="s">
        <v>135</v>
      </c>
      <c r="C19" s="7">
        <f>COUNTIF('Roadmap QA Automation'!B:B,B19)</f>
        <v>0</v>
      </c>
      <c r="D19" s="11">
        <f>IFERROR(AVERAGEIF('Roadmap QA Automation'!B:B,B19,'Roadmap QA Automation'!I:I)/100,0)</f>
        <v>0</v>
      </c>
      <c r="E19" s="7"/>
      <c r="F19" s="7"/>
      <c r="G19" s="7"/>
      <c r="H19" s="7"/>
      <c r="I19" s="7"/>
      <c r="J19" s="7"/>
    </row>
    <row r="20" spans="1:10" x14ac:dyDescent="0.3">
      <c r="A20" s="7"/>
      <c r="B20" s="7" t="s">
        <v>139</v>
      </c>
      <c r="C20" s="7">
        <f>COUNTIF('Roadmap QA Automation'!B:B,B20)</f>
        <v>6</v>
      </c>
      <c r="D20" s="11">
        <f>IFERROR(AVERAGEIF('Roadmap QA Automation'!B:B,B20,'Roadmap QA Automation'!I:I)/100,0)</f>
        <v>0</v>
      </c>
      <c r="E20" s="7"/>
      <c r="F20" s="7"/>
      <c r="G20" s="7"/>
      <c r="H20" s="7"/>
      <c r="I20" s="7"/>
      <c r="J20" s="7"/>
    </row>
    <row r="21" spans="1:10" x14ac:dyDescent="0.3">
      <c r="A21" s="7"/>
      <c r="B21" s="7" t="s">
        <v>158</v>
      </c>
      <c r="C21" s="7">
        <f>COUNTIF('Roadmap QA Automation'!B:B,B21)</f>
        <v>5</v>
      </c>
      <c r="D21" s="11">
        <f>IFERROR(AVERAGEIF('Roadmap QA Automation'!B:B,B21,'Roadmap QA Automation'!I:I)/100,0)</f>
        <v>0</v>
      </c>
      <c r="E21" s="7"/>
      <c r="F21" s="7"/>
      <c r="G21" s="7"/>
      <c r="H21" s="7"/>
      <c r="I21" s="7"/>
      <c r="J21" s="7"/>
    </row>
    <row r="22" spans="1:10" x14ac:dyDescent="0.3">
      <c r="A22" s="7"/>
      <c r="B22" s="7" t="s">
        <v>174</v>
      </c>
      <c r="C22" s="7">
        <f>COUNTIF('Roadmap QA Automation'!B:B,B22)</f>
        <v>4</v>
      </c>
      <c r="D22" s="11">
        <f>IFERROR(AVERAGEIF('Roadmap QA Automation'!B:B,B22,'Roadmap QA Automation'!I:I)/100,0)</f>
        <v>0</v>
      </c>
      <c r="E22" s="7"/>
      <c r="F22" s="7"/>
      <c r="G22" s="7"/>
      <c r="H22" s="7"/>
      <c r="I22" s="7"/>
      <c r="J22" s="7"/>
    </row>
    <row r="23" spans="1:10" x14ac:dyDescent="0.3">
      <c r="A23" s="7"/>
      <c r="B23" s="7" t="s">
        <v>187</v>
      </c>
      <c r="C23" s="7">
        <f>COUNTIF('Roadmap QA Automation'!B:B,B23)</f>
        <v>6</v>
      </c>
      <c r="D23" s="11">
        <f>IFERROR(AVERAGEIF('Roadmap QA Automation'!B:B,B23,'Roadmap QA Automation'!I:I)/100,0)</f>
        <v>0</v>
      </c>
      <c r="E23" s="7"/>
      <c r="F23" s="7"/>
      <c r="G23" s="7"/>
      <c r="H23" s="7"/>
      <c r="I23" s="7"/>
      <c r="J23" s="7"/>
    </row>
    <row r="24" spans="1:10" x14ac:dyDescent="0.3">
      <c r="A24" s="7"/>
      <c r="B24" s="7" t="s">
        <v>206</v>
      </c>
      <c r="C24" s="7">
        <f>COUNTIF('Roadmap QA Automation'!B:B,B24)</f>
        <v>0</v>
      </c>
      <c r="D24" s="11">
        <f>IFERROR(AVERAGEIF('Roadmap QA Automation'!B:B,B24,'Roadmap QA Automation'!I:I)/100,0)</f>
        <v>0</v>
      </c>
      <c r="E24" s="7"/>
      <c r="F24" s="7"/>
      <c r="G24" s="7"/>
      <c r="H24" s="7"/>
      <c r="I24" s="7"/>
      <c r="J24" s="7"/>
    </row>
    <row r="25" spans="1:10" x14ac:dyDescent="0.3">
      <c r="A25" s="7"/>
      <c r="B25" s="7" t="s">
        <v>218</v>
      </c>
      <c r="C25" s="7">
        <f>COUNTIF('Roadmap QA Automation'!B:B,B25)</f>
        <v>0</v>
      </c>
      <c r="D25" s="11">
        <f>IFERROR(AVERAGEIF('Roadmap QA Automation'!B:B,B25,'Roadmap QA Automation'!I:I)/100,0)</f>
        <v>0</v>
      </c>
      <c r="E25" s="7"/>
      <c r="F25" s="7"/>
      <c r="G25" s="7"/>
      <c r="H25" s="7"/>
      <c r="I25" s="7"/>
      <c r="J25" s="7"/>
    </row>
    <row r="26" spans="1:10" x14ac:dyDescent="0.3">
      <c r="A26" s="7"/>
      <c r="B26" s="7" t="s">
        <v>220</v>
      </c>
      <c r="C26" s="7">
        <f>COUNTIF('Roadmap QA Automation'!B:B,B26)</f>
        <v>4</v>
      </c>
      <c r="D26" s="11">
        <f>IFERROR(AVERAGEIF('Roadmap QA Automation'!B:B,B26,'Roadmap QA Automation'!I:I)/100,0)</f>
        <v>0</v>
      </c>
      <c r="E26" s="7"/>
      <c r="F26" s="7"/>
      <c r="G26" s="7"/>
      <c r="H26" s="7"/>
      <c r="I26" s="7"/>
      <c r="J26" s="7"/>
    </row>
    <row r="27" spans="1:10" x14ac:dyDescent="0.3">
      <c r="A27" s="7"/>
      <c r="B27" s="7"/>
      <c r="C27" s="7"/>
      <c r="D27" s="7"/>
      <c r="E27" s="7"/>
      <c r="F27" s="7"/>
      <c r="G27" s="7"/>
      <c r="H27" s="7"/>
      <c r="I27" s="7"/>
      <c r="J27" s="7"/>
    </row>
    <row r="28" spans="1:10" x14ac:dyDescent="0.3">
      <c r="A28" s="7"/>
      <c r="B28" s="7"/>
      <c r="C28" s="7"/>
      <c r="D28" s="7"/>
      <c r="E28" s="7"/>
      <c r="F28" s="7"/>
      <c r="G28" s="7"/>
      <c r="H28" s="7"/>
      <c r="I28" s="7"/>
      <c r="J28" s="7"/>
    </row>
    <row r="29" spans="1:10" x14ac:dyDescent="0.3">
      <c r="A29" s="7"/>
      <c r="B29" s="7"/>
      <c r="C29" s="7"/>
      <c r="D29" s="7"/>
      <c r="E29" s="7"/>
      <c r="F29" s="7"/>
      <c r="G29" s="7"/>
      <c r="H29" s="7"/>
      <c r="I29" s="7"/>
      <c r="J29" s="7"/>
    </row>
    <row r="30" spans="1:10" ht="18" x14ac:dyDescent="0.3">
      <c r="A30" s="7"/>
      <c r="B30" s="9" t="s">
        <v>240</v>
      </c>
      <c r="C30" s="7"/>
      <c r="D30" s="7"/>
      <c r="E30" s="7"/>
      <c r="F30" s="7"/>
      <c r="G30" s="7"/>
      <c r="H30" s="7"/>
      <c r="I30" s="7"/>
      <c r="J30" s="7"/>
    </row>
    <row r="31" spans="1:10" x14ac:dyDescent="0.3">
      <c r="A31" s="7"/>
      <c r="B31" s="10" t="s">
        <v>241</v>
      </c>
      <c r="C31" s="10" t="s">
        <v>242</v>
      </c>
      <c r="D31" s="7"/>
      <c r="E31" s="7"/>
      <c r="F31" s="7"/>
      <c r="G31" s="7"/>
      <c r="H31" s="7"/>
      <c r="I31" s="7"/>
      <c r="J31" s="7"/>
    </row>
    <row r="32" spans="1:10" x14ac:dyDescent="0.3">
      <c r="A32" s="7"/>
      <c r="B32" s="7" t="s">
        <v>243</v>
      </c>
      <c r="C32" s="7">
        <f>COUNTIF('Roadmap QA Automation'!I:I,0)</f>
        <v>73</v>
      </c>
      <c r="D32" s="7"/>
      <c r="E32" s="7"/>
      <c r="F32" s="7"/>
      <c r="G32" s="7"/>
      <c r="H32" s="7"/>
      <c r="I32" s="7"/>
      <c r="J32" s="7"/>
    </row>
    <row r="33" spans="1:10" x14ac:dyDescent="0.3">
      <c r="A33" s="7"/>
      <c r="B33" s="7" t="s">
        <v>244</v>
      </c>
      <c r="C33" s="7">
        <f>COUNTIF('Roadmap QA Automation'!I:I,25)</f>
        <v>0</v>
      </c>
      <c r="D33" s="7"/>
      <c r="E33" s="7"/>
      <c r="F33" s="7"/>
      <c r="G33" s="7"/>
      <c r="H33" s="7"/>
      <c r="I33" s="7"/>
      <c r="J33" s="7"/>
    </row>
    <row r="34" spans="1:10" x14ac:dyDescent="0.3">
      <c r="A34" s="7"/>
      <c r="B34" s="7" t="s">
        <v>245</v>
      </c>
      <c r="C34" s="7">
        <f>COUNTIF('Roadmap QA Automation'!I:I,50)</f>
        <v>0</v>
      </c>
      <c r="D34" s="7"/>
      <c r="E34" s="7"/>
      <c r="F34" s="7"/>
      <c r="G34" s="7"/>
      <c r="H34" s="7"/>
      <c r="I34" s="7"/>
      <c r="J34" s="7"/>
    </row>
    <row r="35" spans="1:10" x14ac:dyDescent="0.3">
      <c r="A35" s="7"/>
      <c r="B35" s="7" t="s">
        <v>246</v>
      </c>
      <c r="C35" s="7">
        <f>COUNTIF('Roadmap QA Automation'!I:I,75)</f>
        <v>0</v>
      </c>
      <c r="D35" s="7"/>
      <c r="E35" s="7"/>
      <c r="F35" s="7"/>
      <c r="G35" s="7"/>
      <c r="H35" s="7"/>
      <c r="I35" s="7"/>
      <c r="J35" s="7"/>
    </row>
    <row r="36" spans="1:10" x14ac:dyDescent="0.3">
      <c r="A36" s="7"/>
      <c r="B36" s="7" t="s">
        <v>247</v>
      </c>
      <c r="C36" s="7">
        <f>COUNTIF('Roadmap QA Automation'!I:I,100)</f>
        <v>0</v>
      </c>
      <c r="D36" s="7"/>
      <c r="E36" s="7"/>
      <c r="F36" s="7"/>
      <c r="G36" s="7"/>
      <c r="H36" s="7"/>
      <c r="I36" s="7"/>
      <c r="J36" s="7"/>
    </row>
    <row r="37" spans="1:10" x14ac:dyDescent="0.3">
      <c r="A37" s="7"/>
      <c r="B37" s="7"/>
      <c r="C37" s="7"/>
      <c r="D37" s="7"/>
      <c r="E37" s="7"/>
      <c r="F37" s="7"/>
      <c r="G37" s="7"/>
      <c r="H37" s="7"/>
      <c r="I37" s="7"/>
      <c r="J37" s="7"/>
    </row>
    <row r="38" spans="1:10" x14ac:dyDescent="0.3">
      <c r="A38" s="7"/>
      <c r="B38" s="7"/>
      <c r="C38" s="7"/>
      <c r="D38" s="7"/>
      <c r="E38" s="7"/>
      <c r="F38" s="7"/>
      <c r="G38" s="7"/>
      <c r="H38" s="7"/>
      <c r="I38" s="7"/>
      <c r="J38" s="7"/>
    </row>
    <row r="39" spans="1:10" x14ac:dyDescent="0.3">
      <c r="A39" s="7"/>
      <c r="B39" s="7"/>
      <c r="C39" s="7"/>
      <c r="D39" s="7"/>
      <c r="E39" s="7"/>
      <c r="F39" s="7"/>
      <c r="G39" s="7"/>
      <c r="H39" s="7"/>
      <c r="I39" s="7"/>
      <c r="J39" s="7"/>
    </row>
    <row r="40" spans="1:10" ht="36" x14ac:dyDescent="0.3">
      <c r="A40" s="7"/>
      <c r="B40" s="9" t="s">
        <v>248</v>
      </c>
      <c r="C40" s="7"/>
      <c r="D40" s="7"/>
      <c r="E40" s="7"/>
      <c r="F40" s="7"/>
      <c r="G40" s="7"/>
      <c r="H40" s="7"/>
      <c r="I40" s="7"/>
      <c r="J40" s="7"/>
    </row>
    <row r="41" spans="1:10" x14ac:dyDescent="0.3">
      <c r="A41" s="7"/>
      <c r="B41" s="10" t="s">
        <v>6</v>
      </c>
      <c r="C41" s="10" t="s">
        <v>238</v>
      </c>
      <c r="D41" s="10" t="s">
        <v>239</v>
      </c>
      <c r="E41" s="7"/>
      <c r="F41" s="7"/>
      <c r="G41" s="7"/>
      <c r="H41" s="7"/>
      <c r="I41" s="7"/>
      <c r="J41" s="7"/>
    </row>
    <row r="42" spans="1:10" x14ac:dyDescent="0.3">
      <c r="A42" s="7"/>
      <c r="B42" s="7" t="s">
        <v>16</v>
      </c>
      <c r="C42" s="7">
        <f>COUNTIF('Roadmap QA Automation'!G:G,B42)</f>
        <v>57</v>
      </c>
      <c r="D42" s="11">
        <f>IFERROR(AVERAGEIF('Roadmap QA Automation'!G:G,B42,'Roadmap QA Automation'!I:I)/100,0)</f>
        <v>0</v>
      </c>
      <c r="E42" s="7"/>
      <c r="F42" s="7"/>
      <c r="G42" s="7"/>
      <c r="H42" s="7"/>
      <c r="I42" s="7"/>
      <c r="J42" s="7"/>
    </row>
    <row r="43" spans="1:10" x14ac:dyDescent="0.3">
      <c r="A43" s="7"/>
      <c r="B43" s="7" t="s">
        <v>53</v>
      </c>
      <c r="C43" s="7">
        <f>COUNTIF('Roadmap QA Automation'!G:G,B43)</f>
        <v>17</v>
      </c>
      <c r="D43" s="11">
        <f>IFERROR(AVERAGEIF('Roadmap QA Automation'!G:G,B43,'Roadmap QA Automation'!I:I)/100,0)</f>
        <v>0</v>
      </c>
      <c r="E43" s="7"/>
      <c r="F43" s="7"/>
      <c r="G43" s="7"/>
      <c r="H43" s="7"/>
      <c r="I43" s="7"/>
      <c r="J43" s="7"/>
    </row>
    <row r="44" spans="1:10" x14ac:dyDescent="0.3">
      <c r="A44" s="7"/>
      <c r="B44" s="7" t="s">
        <v>133</v>
      </c>
      <c r="C44" s="7">
        <f>COUNTIF('Roadmap QA Automation'!G:G,B44)</f>
        <v>3</v>
      </c>
      <c r="D44" s="11">
        <f>IFERROR(AVERAGEIF('Roadmap QA Automation'!G:G,B44,'Roadmap QA Automation'!I:I)/100,0)</f>
        <v>0</v>
      </c>
      <c r="E44" s="7"/>
      <c r="F44" s="7"/>
      <c r="G44" s="7"/>
      <c r="H44" s="7"/>
      <c r="I44" s="7"/>
      <c r="J44" s="7"/>
    </row>
    <row r="45" spans="1:10" x14ac:dyDescent="0.3">
      <c r="A45" s="7"/>
      <c r="B45" s="7"/>
      <c r="C45" s="7"/>
      <c r="D45" s="7"/>
      <c r="E45" s="7"/>
      <c r="F45" s="7"/>
      <c r="G45" s="7"/>
      <c r="H45" s="7"/>
      <c r="I45" s="7"/>
      <c r="J45" s="7"/>
    </row>
    <row r="46" spans="1:10" x14ac:dyDescent="0.3">
      <c r="A46" s="7"/>
      <c r="B46" s="7"/>
      <c r="C46" s="7"/>
      <c r="D46" s="7"/>
      <c r="E46" s="7"/>
      <c r="F46" s="7"/>
      <c r="G46" s="7"/>
      <c r="H46" s="7"/>
      <c r="I46" s="7"/>
      <c r="J46" s="7"/>
    </row>
    <row r="47" spans="1:10" ht="18" x14ac:dyDescent="0.3">
      <c r="A47" s="7"/>
      <c r="B47" s="9" t="s">
        <v>249</v>
      </c>
      <c r="C47" s="7"/>
      <c r="D47" s="7"/>
      <c r="E47" s="7"/>
      <c r="F47" s="7"/>
      <c r="G47" s="7"/>
      <c r="H47" s="7"/>
      <c r="I47" s="7"/>
      <c r="J47" s="7"/>
    </row>
    <row r="48" spans="1:10" x14ac:dyDescent="0.3">
      <c r="A48" s="7"/>
      <c r="B48" s="10" t="s">
        <v>2</v>
      </c>
      <c r="C48" s="10" t="s">
        <v>238</v>
      </c>
      <c r="D48" s="10" t="s">
        <v>239</v>
      </c>
      <c r="E48" s="7"/>
      <c r="F48" s="7"/>
      <c r="G48" s="7"/>
      <c r="H48" s="7"/>
      <c r="I48" s="7"/>
      <c r="J48" s="7"/>
    </row>
    <row r="49" spans="1:10" x14ac:dyDescent="0.3">
      <c r="A49" s="7"/>
      <c r="B49" s="7" t="s">
        <v>13</v>
      </c>
      <c r="C49" s="7">
        <f>COUNTIF('Roadmap QA Automation'!C:C,B49)</f>
        <v>3</v>
      </c>
      <c r="D49" s="11">
        <f>IFERROR(AVERAGEIF('Roadmap QA Automation'!C:C,B49,'Roadmap QA Automation'!I:I)/100,0)</f>
        <v>0</v>
      </c>
      <c r="E49" s="7"/>
      <c r="F49" s="7"/>
      <c r="G49" s="7"/>
      <c r="H49" s="7"/>
      <c r="I49" s="7"/>
      <c r="J49" s="7"/>
    </row>
    <row r="50" spans="1:10" x14ac:dyDescent="0.3">
      <c r="A50" s="7"/>
      <c r="B50" s="7" t="s">
        <v>18</v>
      </c>
      <c r="C50" s="7">
        <f>COUNTIF('Roadmap QA Automation'!C:C,B50)</f>
        <v>3</v>
      </c>
      <c r="D50" s="11">
        <f>IFERROR(AVERAGEIF('Roadmap QA Automation'!C:C,B50,'Roadmap QA Automation'!I:I)/100,0)</f>
        <v>0</v>
      </c>
      <c r="E50" s="7"/>
      <c r="F50" s="7"/>
      <c r="G50" s="7"/>
      <c r="H50" s="7"/>
      <c r="I50" s="7"/>
      <c r="J50" s="7"/>
    </row>
    <row r="51" spans="1:10" x14ac:dyDescent="0.3">
      <c r="A51" s="7"/>
      <c r="B51" s="7" t="s">
        <v>21</v>
      </c>
      <c r="C51" s="7">
        <f>COUNTIF('Roadmap QA Automation'!C:C,B51)</f>
        <v>3</v>
      </c>
      <c r="D51" s="11">
        <f>IFERROR(AVERAGEIF('Roadmap QA Automation'!C:C,B51,'Roadmap QA Automation'!I:I)/100,0)</f>
        <v>0</v>
      </c>
      <c r="E51" s="7"/>
      <c r="F51" s="7"/>
      <c r="G51" s="7"/>
      <c r="H51" s="7"/>
      <c r="I51" s="7"/>
      <c r="J51" s="7"/>
    </row>
    <row r="52" spans="1:10" x14ac:dyDescent="0.3">
      <c r="A52" s="7"/>
      <c r="B52" s="7" t="s">
        <v>25</v>
      </c>
      <c r="C52" s="7">
        <f>COUNTIF('Roadmap QA Automation'!C:C,B52)</f>
        <v>3</v>
      </c>
      <c r="D52" s="11">
        <f>IFERROR(AVERAGEIF('Roadmap QA Automation'!C:C,B52,'Roadmap QA Automation'!I:I)/100,0)</f>
        <v>0</v>
      </c>
      <c r="E52" s="7"/>
      <c r="F52" s="7"/>
      <c r="G52" s="7"/>
      <c r="H52" s="7"/>
      <c r="I52" s="7"/>
      <c r="J52" s="7"/>
    </row>
    <row r="53" spans="1:10" x14ac:dyDescent="0.3">
      <c r="A53" s="7"/>
      <c r="B53" s="7" t="s">
        <v>45</v>
      </c>
      <c r="C53" s="7">
        <f>COUNTIF('Roadmap QA Automation'!C:C,B53)</f>
        <v>59</v>
      </c>
      <c r="D53" s="11">
        <f>IFERROR(AVERAGEIF('Roadmap QA Automation'!C:C,B53,'Roadmap QA Automation'!I:I)/100,0)</f>
        <v>0</v>
      </c>
      <c r="E53" s="7"/>
      <c r="F53" s="7"/>
      <c r="G53" s="7"/>
      <c r="H53" s="7"/>
      <c r="I53" s="7"/>
      <c r="J53" s="7"/>
    </row>
  </sheetData>
  <mergeCells count="7">
    <mergeCell ref="B2:J3"/>
    <mergeCell ref="B7:C7"/>
    <mergeCell ref="E7:F7"/>
    <mergeCell ref="H7:I7"/>
    <mergeCell ref="H8:I8"/>
    <mergeCell ref="B8:C8"/>
    <mergeCell ref="E8:F8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18"/>
  <sheetViews>
    <sheetView showGridLines="0" workbookViewId="0"/>
  </sheetViews>
  <sheetFormatPr baseColWidth="10" defaultColWidth="8.88671875" defaultRowHeight="14.4" x14ac:dyDescent="0.3"/>
  <cols>
    <col min="2" max="2" width="28" customWidth="1"/>
    <col min="3" max="3" width="90" customWidth="1"/>
  </cols>
  <sheetData>
    <row r="2" spans="2:3" ht="25.8" x14ac:dyDescent="0.5">
      <c r="B2" s="12" t="s">
        <v>250</v>
      </c>
    </row>
    <row r="4" spans="2:3" ht="28.8" x14ac:dyDescent="0.3">
      <c r="B4" s="13" t="s">
        <v>251</v>
      </c>
      <c r="C4" s="2" t="s">
        <v>252</v>
      </c>
    </row>
    <row r="5" spans="2:3" x14ac:dyDescent="0.3">
      <c r="B5" s="14"/>
      <c r="C5" s="2"/>
    </row>
    <row r="6" spans="2:3" x14ac:dyDescent="0.3">
      <c r="B6" s="13" t="s">
        <v>253</v>
      </c>
      <c r="C6" s="2"/>
    </row>
    <row r="7" spans="2:3" x14ac:dyDescent="0.3">
      <c r="B7" s="14" t="s">
        <v>243</v>
      </c>
      <c r="C7" s="2" t="s">
        <v>254</v>
      </c>
    </row>
    <row r="8" spans="2:3" x14ac:dyDescent="0.3">
      <c r="B8" s="14" t="s">
        <v>244</v>
      </c>
      <c r="C8" s="2" t="s">
        <v>255</v>
      </c>
    </row>
    <row r="9" spans="2:3" x14ac:dyDescent="0.3">
      <c r="B9" s="14" t="s">
        <v>245</v>
      </c>
      <c r="C9" s="2" t="s">
        <v>256</v>
      </c>
    </row>
    <row r="10" spans="2:3" x14ac:dyDescent="0.3">
      <c r="B10" s="14" t="s">
        <v>246</v>
      </c>
      <c r="C10" s="2" t="s">
        <v>257</v>
      </c>
    </row>
    <row r="11" spans="2:3" x14ac:dyDescent="0.3">
      <c r="B11" s="14" t="s">
        <v>247</v>
      </c>
      <c r="C11" s="2" t="s">
        <v>258</v>
      </c>
    </row>
    <row r="12" spans="2:3" x14ac:dyDescent="0.3">
      <c r="B12" s="14"/>
      <c r="C12" s="2"/>
    </row>
    <row r="13" spans="2:3" x14ac:dyDescent="0.3">
      <c r="B13" s="13" t="s">
        <v>6</v>
      </c>
      <c r="C13" s="2"/>
    </row>
    <row r="14" spans="2:3" x14ac:dyDescent="0.3">
      <c r="B14" s="14" t="s">
        <v>16</v>
      </c>
      <c r="C14" s="2" t="s">
        <v>259</v>
      </c>
    </row>
    <row r="15" spans="2:3" x14ac:dyDescent="0.3">
      <c r="B15" s="14" t="s">
        <v>53</v>
      </c>
      <c r="C15" s="2" t="s">
        <v>260</v>
      </c>
    </row>
    <row r="16" spans="2:3" x14ac:dyDescent="0.3">
      <c r="B16" s="14" t="s">
        <v>133</v>
      </c>
      <c r="C16" s="2" t="s">
        <v>261</v>
      </c>
    </row>
    <row r="17" spans="2:3" x14ac:dyDescent="0.3">
      <c r="B17" s="14"/>
      <c r="C17" s="2"/>
    </row>
    <row r="18" spans="2:3" ht="28.8" x14ac:dyDescent="0.3">
      <c r="B18" s="13" t="s">
        <v>262</v>
      </c>
      <c r="C18" s="2" t="s">
        <v>263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F842B2145328244B4B47741AC555AE2" ma:contentTypeVersion="11" ma:contentTypeDescription="Crear nuevo documento." ma:contentTypeScope="" ma:versionID="783508ae003506b91aa2be35b4ebc887">
  <xsd:schema xmlns:xsd="http://www.w3.org/2001/XMLSchema" xmlns:xs="http://www.w3.org/2001/XMLSchema" xmlns:p="http://schemas.microsoft.com/office/2006/metadata/properties" xmlns:ns2="96ffd99d-26d2-4d99-98b0-05d0b9b7ac4e" xmlns:ns3="823bb257-b027-4d06-8b2f-053335b328b1" targetNamespace="http://schemas.microsoft.com/office/2006/metadata/properties" ma:root="true" ma:fieldsID="4b965eb5b8ebcdb894d7355c785d1653" ns2:_="" ns3:_="">
    <xsd:import namespace="96ffd99d-26d2-4d99-98b0-05d0b9b7ac4e"/>
    <xsd:import namespace="823bb257-b027-4d06-8b2f-053335b328b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ffd99d-26d2-4d99-98b0-05d0b9b7ac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e40c8a86-21c0-42e0-9538-1e95a19895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3bb257-b027-4d06-8b2f-053335b328b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65b88fc-85e5-4ddb-ab47-c2b550a44b02}" ma:internalName="TaxCatchAll" ma:showField="CatchAllData" ma:web="823bb257-b027-4d06-8b2f-053335b328b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6ffd99d-26d2-4d99-98b0-05d0b9b7ac4e">
      <Terms xmlns="http://schemas.microsoft.com/office/infopath/2007/PartnerControls"/>
    </lcf76f155ced4ddcb4097134ff3c332f>
    <TaxCatchAll xmlns="823bb257-b027-4d06-8b2f-053335b328b1" xsi:nil="true"/>
  </documentManagement>
</p:properties>
</file>

<file path=customXml/itemProps1.xml><?xml version="1.0" encoding="utf-8"?>
<ds:datastoreItem xmlns:ds="http://schemas.openxmlformats.org/officeDocument/2006/customXml" ds:itemID="{1A512D99-C2FC-42B8-8FDB-89CED4284B88}"/>
</file>

<file path=customXml/itemProps2.xml><?xml version="1.0" encoding="utf-8"?>
<ds:datastoreItem xmlns:ds="http://schemas.openxmlformats.org/officeDocument/2006/customXml" ds:itemID="{211C9EF2-99F3-47CC-A9EA-437B32406790}"/>
</file>

<file path=customXml/itemProps3.xml><?xml version="1.0" encoding="utf-8"?>
<ds:datastoreItem xmlns:ds="http://schemas.openxmlformats.org/officeDocument/2006/customXml" ds:itemID="{347876AB-BDAE-4A3D-A9BF-1638E774D86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Roadmap QA Automation</vt:lpstr>
      <vt:lpstr>Dashboard Ejecutivo</vt:lpstr>
      <vt:lpstr>Guía</vt:lpstr>
      <vt:lpstr>'Roadmap QA Automation'!Títulos_a_imprimir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liliana picinotti</cp:lastModifiedBy>
  <dcterms:created xsi:type="dcterms:W3CDTF">2026-08-20T03:21:09Z</dcterms:created>
  <dcterms:modified xsi:type="dcterms:W3CDTF">2026-08-26T17:46:44Z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0x0101009F842B2145328244B4B47741AC555AE2</vt:lpwstr>
  </property>
</Properties>
</file>